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pons Master" sheetId="1" state="visible" r:id="rId3"/>
    <sheet name="Interactions" sheetId="2" state="visible" r:id="rId4"/>
    <sheet name="Sim Parameters" sheetId="3" state="visible" r:id="rId5"/>
    <sheet name="Ship Count Formula" sheetId="4" state="visible" r:id="rId6"/>
    <sheet name="Time Simulation" sheetId="5" state="visible" r:id="rId7"/>
    <sheet name="Opening Pairs" sheetId="6" state="visible" r:id="rId8"/>
    <sheet name="README" sheetId="7" state="visible" r:id="rId9"/>
    <sheet name="Scor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<sst xmlns="http://schemas.openxmlformats.org/spreadsheetml/2006/main" count="728" uniqueCount="471">
  <si>
    <t xml:space="preserve">MARITIME PREDICTION MARKET — EFFECT MATRIX</t>
  </si>
  <si>
    <t xml:space="preserve">Each weapon maps to a machine-readable row. On object detection trigger: read weapon_id → apply prob_delta → start timer → apply decay/build each tick. Cols L–M: ship count formula and instant result (N_base=20).</t>
  </si>
  <si>
    <t xml:space="preserve">#</t>
  </si>
  <si>
    <t xml:space="preserve">weapon_name</t>
  </si>
  <si>
    <t xml:space="preserve">player</t>
  </si>
  <si>
    <t xml:space="preserve">speed</t>
  </si>
  <si>
    <t xml:space="preserve">prob_delta</t>
  </si>
  <si>
    <t xml:space="preserve">onset_s</t>
  </si>
  <si>
    <t xml:space="preserve">decay_per_30s</t>
  </si>
  <si>
    <t xml:space="preserve">build_per_30s</t>
  </si>
  <si>
    <t xml:space="preserve">sim_consequence</t>
  </si>
  <si>
    <t xml:space="preserve">counter_weapons</t>
  </si>
  <si>
    <t xml:space="preserve">sim_trigger_key</t>
  </si>
  <si>
    <t xml:space="preserve">ship_count_formula  (N_base=20)</t>
  </si>
  <si>
    <t xml:space="preserve">ships_at_t0
(N=20, no counters)</t>
  </si>
  <si>
    <t xml:space="preserve">D01</t>
  </si>
  <si>
    <t xml:space="preserve">Strait closure / naval blockade</t>
  </si>
  <si>
    <t xml:space="preserve">disruptor</t>
  </si>
  <si>
    <t xml:space="preserve">fast</t>
  </si>
  <si>
    <t xml:space="preserve">Ships in Hormuz lane halt. Spawn rate −80%. Oil cargo frozen. Lane goes dark on map.</t>
  </si>
  <si>
    <t xml:space="preserve">D01→naval_escort (full cancel), D01→coalition_formation (partial)</t>
  </si>
  <si>
    <t xml:space="preserve">speed_mult=0.05; spawn_rate_mult=0.2; hormuz_lane=closed</t>
  </si>
  <si>
    <t xml:space="preserve">ROUND(20 × 0.05 × 0.20 × 0 × 1.0 × 1.0 × 1.0, 0)</t>
  </si>
  <si>
    <t xml:space="preserve">D02</t>
  </si>
  <si>
    <t xml:space="preserve">Sanctions package</t>
  </si>
  <si>
    <t xml:space="preserve">slow</t>
  </si>
  <si>
    <t xml:space="preserve">Trade volume on flagged routes drops gradually. Ship speed −40%. Cargo value multiplier decreases. Compounds with other disruptor weapons.</t>
  </si>
  <si>
    <t xml:space="preserve">D02→diplomatic_backchannel (freezes build), D02→coalition_formation (reverses slowly)</t>
  </si>
  <si>
    <t xml:space="preserve">speed_mult=0.6; cargo_value_mult=0.7; sanctions_active=true</t>
  </si>
  <si>
    <t xml:space="preserve">ROUND(20 × 0.60 × 1.0 × 1 × 1.0 × 1.0 × 1.0, 0)</t>
  </si>
  <si>
    <t xml:space="preserve">D03</t>
  </si>
  <si>
    <t xml:space="preserve">Tanker seizure</t>
  </si>
  <si>
    <t xml:space="preserve">One vessel class removed from simulation. Economic output drops proportionally. Slow decay — ship stays gone unless released.</t>
  </si>
  <si>
    <t xml:space="preserve">D03→emergency_reflagging (restores vessel), D03→naval_escort (prevents further)</t>
  </si>
  <si>
    <t xml:space="preserve">remove_vessel_class=tanker; economic_output_mult=0.75</t>
  </si>
  <si>
    <t xml:space="preserve">ROUND(20 × 1.0 × 1.0 × 1 × (1−0.25) × 1.0 × 1.0, 0)</t>
  </si>
  <si>
    <t xml:space="preserve">D04</t>
  </si>
  <si>
    <t xml:space="preserve">Drone / missile strike on port</t>
  </si>
  <si>
    <t xml:space="preserve">Port spawn node disabled. Ships queue, cannot load/unload. Irreversible within round unless defender uses alt route.</t>
  </si>
  <si>
    <t xml:space="preserve">D04→alternative_route (bypasses port)</t>
  </si>
  <si>
    <t xml:space="preserve">port_node=disabled; spawn_blocked=true</t>
  </si>
  <si>
    <t xml:space="preserve">ROUND(20 × 1.0 × 0.0 × 1 × 1.0 × 1.0 × 1.0, 0)</t>
  </si>
  <si>
    <t xml:space="preserve">D05</t>
  </si>
  <si>
    <t xml:space="preserve">Insurance market suspension</t>
  </si>
  <si>
    <t xml:space="preserve">Most powerful slow weapon. Ships stop moving globally. Build accelerates if no counter. Fear makes risk real — models Lloyd's effect.</t>
  </si>
  <si>
    <t xml:space="preserve">D05→SPR_release (breaks fear signal), D05→diplomatic_backchannel (partial freeze)</t>
  </si>
  <si>
    <t xml:space="preserve">global_movement_mult=0.3; insurance_active=false; fear_signal=true</t>
  </si>
  <si>
    <t xml:space="preserve">ROUND(20 × 0.30 × 1.0 × 1 × 1.0 × 1.0 × 0.30, 0)</t>
  </si>
  <si>
    <t xml:space="preserve">D06</t>
  </si>
  <si>
    <t xml:space="preserve">Cyber attack on port logistics</t>
  </si>
  <si>
    <t xml:space="preserve">Traffic routing broken. Ships move but cannot reach destinations. Visible chaos without physical stop. Medium decay.</t>
  </si>
  <si>
    <t xml:space="preserve">D06→alternative_route (bypasses affected nodes)</t>
  </si>
  <si>
    <t xml:space="preserve">routing_broken=true; destination_reach=false</t>
  </si>
  <si>
    <t xml:space="preserve">ROUND(20 × 1.0 × 1.0 × 1 × 1.0 × 0.40 × 1.0, 0)</t>
  </si>
  <si>
    <t xml:space="preserve">R01</t>
  </si>
  <si>
    <t xml:space="preserve">Naval escort / freedom of navigation</t>
  </si>
  <si>
    <t xml:space="preserve">defender</t>
  </si>
  <si>
    <t xml:space="preserve">Ships resume movement in contested lane. Fully counters strait closure. Escort protection degrades slowly — disruptor can re-engage after ~3 min.</t>
  </si>
  <si>
    <t xml:space="preserve">Counters: D01 (full), D03 (prevents further seizures)</t>
  </si>
  <si>
    <t xml:space="preserve">hormuz_lane=open; escort_active=true; speed_mult=1.0</t>
  </si>
  <si>
    <t xml:space="preserve">ROUND(20 × 1.0 × 1.0 × 1 × 1.0 × 1.0 × 1.0, 0)</t>
  </si>
  <si>
    <t xml:space="preserve">R02</t>
  </si>
  <si>
    <t xml:space="preserve">Emergency re-flagging</t>
  </si>
  <si>
    <t xml:space="preserve">Seized vessel returns to play under new flag. Very slow decay — lasts most of round. China/India flag signals bloc consolidation.</t>
  </si>
  <si>
    <t xml:space="preserve">Counters: D03 (full). Weak vs D02 (flag doesn't override sanctions).</t>
  </si>
  <si>
    <t xml:space="preserve">restore_vessel_class=tanker; reflag_active=true</t>
  </si>
  <si>
    <t xml:space="preserve">ROUND(20 × 1.0 × 1.0 × 1 × (1−0.0) × 1.0 × 1.0, 0)</t>
  </si>
  <si>
    <t xml:space="preserve">R03</t>
  </si>
  <si>
    <t xml:space="preserve">Alternative route activation</t>
  </si>
  <si>
    <t xml:space="preserve">Cape of Good Hope lane activates. Ships reroute — longer path, slower, but moving. Counters D04 and D06. Doesn't counter blockade directly.</t>
  </si>
  <si>
    <t xml:space="preserve">Counters: D04 (bypasses port), D06 (bypasses routing). Indirect only.</t>
  </si>
  <si>
    <t xml:space="preserve">cape_route=active; reroute_mult=0.75; alt_port=enabled</t>
  </si>
  <si>
    <t xml:space="preserve">ROUND(20 × 0.75 × 1.0 × 1 × 1.0 × 1.0 × 1.0, 0) + cape_bonus(~4)</t>
  </si>
  <si>
    <t xml:space="preserve">R04</t>
  </si>
  <si>
    <t xml:space="preserve">Diplomatic back-channel</t>
  </si>
  <si>
    <t xml:space="preserve">Freezes any active slow disruptor weapon's build rate. Doesn't reverse immediately — buys time. Best combined with SPR release for full sanctions counter.</t>
  </si>
  <si>
    <t xml:space="preserve">Counters: D02 (freezes build), D05 (partial freeze). Useless vs fast weapons.</t>
  </si>
  <si>
    <t xml:space="preserve">sanctions_build_frozen=true; insurance_build_frozen=true</t>
  </si>
  <si>
    <t xml:space="preserve">ROUND(20 × 1.0 × 1.0 × 1 × 1.0 × 1.0 × 1.0, 0)  [freezes build only]</t>
  </si>
  <si>
    <t xml:space="preserve">R05</t>
  </si>
  <si>
    <t xml:space="preserve">Strategic petroleum reserve release</t>
  </si>
  <si>
    <t xml:space="preserve">Decouples oil price from route closure. Angola/Venezuela signals non-Western alignment. Breaks fear signal driving insurance suspension.</t>
  </si>
  <si>
    <t xml:space="preserve">Counters: D05 (breaks fear signal). Weak vs physical weapons D01/D03/D04.</t>
  </si>
  <si>
    <t xml:space="preserve">oil_price_decoupled=true; fear_signal=false; spr_active=true</t>
  </si>
  <si>
    <t xml:space="preserve">ROUND(20 × 1.0 × 1.0 × 1 × 1.0 × 1.0 × 1.0, 0)  [fear_signal=false]</t>
  </si>
  <si>
    <t xml:space="preserve">R06</t>
  </si>
  <si>
    <t xml:space="preserve">Coalition formation</t>
  </si>
  <si>
    <t xml:space="preserve">Slowest weapon, highest ceiling. China/India: all active disruptor weapon decay 1.5x faster. Amplifies every active defender weapon. Deploy early.</t>
  </si>
  <si>
    <t xml:space="preserve">Force multiplier — not a direct counter. Amplifies: R01 R02 R03 R04 R05.</t>
  </si>
  <si>
    <t xml:space="preserve">disruptor_decay_mult=1.5; coalition_active=true; defender_amplify=true</t>
  </si>
  <si>
    <t xml:space="preserve">ROUND(20 × 1.0 × 1.0 × 1 × 1.0 × 1.0 × 1.0, 0)  [decay_mult=1.5×]</t>
  </si>
  <si>
    <t xml:space="preserve">WEAPON INTERACTIONS — CAUSE / EFFECT TABLE</t>
  </si>
  <si>
    <t xml:space="preserve">When disruptor_id and defender_id are both active, net_outcome overrides individual deltas. outcome_winner encodes who gains points.</t>
  </si>
  <si>
    <t xml:space="preserve">disruptor_id</t>
  </si>
  <si>
    <t xml:space="preserve">defender_id</t>
  </si>
  <si>
    <t xml:space="preserve">net_delta</t>
  </si>
  <si>
    <t xml:space="preserve">outcome_winner</t>
  </si>
  <si>
    <t xml:space="preserve">mechanism</t>
  </si>
  <si>
    <t xml:space="preserve">notes</t>
  </si>
  <si>
    <t xml:space="preserve">Escort −18 vs blockade +22. Near-cancel. Disruptor maintains +4 edge. Defender must follow up.</t>
  </si>
  <si>
    <t xml:space="preserve">Most common opening exchange. Defender needs second weapon.</t>
  </si>
  <si>
    <t xml:space="preserve">neutral</t>
  </si>
  <si>
    <t xml:space="preserve">SPR breaks fear signal before insurance suspension builds. If R05 deployed before 90s onset, D05 never activates.</t>
  </si>
  <si>
    <t xml:space="preserve">Timing-critical. SPR must be deployed within first 90s of D05 trigger.</t>
  </si>
  <si>
    <t xml:space="preserve">Back-channel freezes sanctions build rate. Net prob stops climbing. Defender then has time for coalition.</t>
  </si>
  <si>
    <t xml:space="preserve">Requires follow-up. Back-channel alone doesn't reverse — just pauses.</t>
  </si>
  <si>
    <t xml:space="preserve">Alt route bypasses port but doesn't repair it. Both effects visible simultaneously on map.</t>
  </si>
  <si>
    <t xml:space="preserve">Port remains broken. Ships reroute but at 0.75x speed. Disruptor retains partial advantage.</t>
  </si>
  <si>
    <t xml:space="preserve">D01+D02</t>
  </si>
  <si>
    <t xml:space="preserve">R01+R04</t>
  </si>
  <si>
    <t xml:space="preserve">Fast+slow stack overwhelms paired defender. Escort handles blockade but back-channel too slow to stop sanctions.</t>
  </si>
  <si>
    <t xml:space="preserve">Disruptor wins by ~+12 at round end. Classic disruptor combo.</t>
  </si>
  <si>
    <t xml:space="preserve">any</t>
  </si>
  <si>
    <t xml:space="preserve">R06 early</t>
  </si>
  <si>
    <t xml:space="preserve">Coalition deployed in first 2 min: 1.5x decay on all active disruptor weapons. Compounds across full round.</t>
  </si>
  <si>
    <t xml:space="preserve">Dominant defender strategy. Earlier deployment = larger cumulative effect.</t>
  </si>
  <si>
    <t xml:space="preserve">Re-flagging restores seized vessel fully. Very slow R02 decay means protection lasts most of round.</t>
  </si>
  <si>
    <t xml:space="preserve">China/India re-flag amplifies into coalition effect if R06 also active.</t>
  </si>
  <si>
    <t xml:space="preserve">Alt route bypasses broken routing nodes. Cyber attack chaos partially neutralised but not fully reversed.</t>
  </si>
  <si>
    <t xml:space="preserve">Disruptor retains small residual. Audience may not notice — map still shows disruption.</t>
  </si>
  <si>
    <t xml:space="preserve">SIMULATION PARAMETER MAP — OBJECT DETECTION → STATE CHANGE</t>
  </si>
  <si>
    <t xml:space="preserve">When object_class is detected by the classifier, read this row and apply all sim_key=value pairs to marketState and simulationState immediately.</t>
  </si>
  <si>
    <t xml:space="preserve">param_key</t>
  </si>
  <si>
    <t xml:space="preserve">description</t>
  </si>
  <si>
    <t xml:space="preserve">default_value</t>
  </si>
  <si>
    <t xml:space="preserve">disruptor_value</t>
  </si>
  <si>
    <t xml:space="preserve">defender_value</t>
  </si>
  <si>
    <t xml:space="preserve">logic_note</t>
  </si>
  <si>
    <t xml:space="preserve">speed_mult</t>
  </si>
  <si>
    <t xml:space="preserve">Ship speed multiplier</t>
  </si>
  <si>
    <t xml:space="preserve">Blockade sets to 0.05 (near-halt). Sanctions set to 0.6. Escort resets to 1.0. Compound: apply lowest active value.</t>
  </si>
  <si>
    <t xml:space="preserve">spawn_rate_mult</t>
  </si>
  <si>
    <t xml:space="preserve">New ship spawn rate</t>
  </si>
  <si>
    <t xml:space="preserve">Blockade drops spawn to 20%. Insurance suspension drops to 30% globally. Alt route resets affected region only.</t>
  </si>
  <si>
    <t xml:space="preserve">cargo_value_mult</t>
  </si>
  <si>
    <t xml:space="preserve">Economic output per delivery</t>
  </si>
  <si>
    <t xml:space="preserve">Sanctions reduce to 0.7. Tanker seizure reduces by 0.25 per vessel class removed. Stacks multiplicatively.</t>
  </si>
  <si>
    <t xml:space="preserve">hormuz_lane</t>
  </si>
  <si>
    <t xml:space="preserve">Strait of Hormuz open/closed</t>
  </si>
  <si>
    <t xml:space="preserve">open</t>
  </si>
  <si>
    <t xml:space="preserve">closed</t>
  </si>
  <si>
    <t xml:space="preserve">Binary. Blockade closes. Naval escort opens. Closure triggers fear_signal=true automatically.</t>
  </si>
  <si>
    <t xml:space="preserve">cape_route</t>
  </si>
  <si>
    <t xml:space="preserve">Cape of Good Hope active</t>
  </si>
  <si>
    <t xml:space="preserve">inactive</t>
  </si>
  <si>
    <t xml:space="preserve">active</t>
  </si>
  <si>
    <t xml:space="preserve">Defender-only. Alt route activation enables this lane. Ships reroute at 0.75x speed. Does not affect Hormuz state.</t>
  </si>
  <si>
    <t xml:space="preserve">port_node</t>
  </si>
  <si>
    <t xml:space="preserve">Primary port spawn enabled</t>
  </si>
  <si>
    <t xml:space="preserve">enabled</t>
  </si>
  <si>
    <t xml:space="preserve">disabled</t>
  </si>
  <si>
    <t xml:space="preserve">Drone strike disables. Cannot be re-enabled within round. Alt route activation creates secondary port node.</t>
  </si>
  <si>
    <t xml:space="preserve">routing_broken</t>
  </si>
  <si>
    <t xml:space="preserve">Destination pathfinding</t>
  </si>
  <si>
    <t xml:space="preserve">normal</t>
  </si>
  <si>
    <t xml:space="preserve">broken</t>
  </si>
  <si>
    <t xml:space="preserve">Cyber attack sets broken=true. Ships move but cannot resolve destinations. Alt route bypasses broken nodes.</t>
  </si>
  <si>
    <t xml:space="preserve">fear_signal</t>
  </si>
  <si>
    <t xml:space="preserve">Market fear state active</t>
  </si>
  <si>
    <t xml:space="preserve">false</t>
  </si>
  <si>
    <t xml:space="preserve">true</t>
  </si>
  <si>
    <t xml:space="preserve">Insurance suspension sets true. SPR release sets false. When true: audience bets weighted +15% toward disruptor outcome.</t>
  </si>
  <si>
    <t xml:space="preserve">insurance_active</t>
  </si>
  <si>
    <t xml:space="preserve">Lloyd's coverage active</t>
  </si>
  <si>
    <t xml:space="preserve">Insurance suspension sets false. SPR release resets to true. When false: global_movement_mult=0.3 applied.</t>
  </si>
  <si>
    <t xml:space="preserve">coalition_active</t>
  </si>
  <si>
    <t xml:space="preserve">Multilateral coalition formed</t>
  </si>
  <si>
    <t xml:space="preserve">Coalition formation sets true. When true: all active disruptor weapon decay rates multiplied by 1.5.</t>
  </si>
  <si>
    <t xml:space="preserve">escort_active</t>
  </si>
  <si>
    <t xml:space="preserve">Naval escort present</t>
  </si>
  <si>
    <t xml:space="preserve">Naval escort sets true. Decays over time. When true: prevents new tanker seizures, reduces blockade effect.</t>
  </si>
  <si>
    <t xml:space="preserve">sanctions_active</t>
  </si>
  <si>
    <t xml:space="preserve">Economic sanctions in effect</t>
  </si>
  <si>
    <t xml:space="preserve">Sanctions package sets true after 60s onset. Back-channel freezes build. Coalition formation reverses slowly.</t>
  </si>
  <si>
    <t xml:space="preserve">spr_active</t>
  </si>
  <si>
    <t xml:space="preserve">Strategic reserves released</t>
  </si>
  <si>
    <t xml:space="preserve">SPR release sets true after 90s onset. Decouples oil_price from route closure. Breaks fear_signal.</t>
  </si>
  <si>
    <t xml:space="preserve">disruptor_decay_mult</t>
  </si>
  <si>
    <t xml:space="preserve">Multiplier on disruptor decay rates</t>
  </si>
  <si>
    <t xml:space="preserve">Coalition formation sets to 1.5. Applied to all disruptor weapon decay_per_30s values while coalition_active=true.</t>
  </si>
  <si>
    <t xml:space="preserve">oil_price_decoupled</t>
  </si>
  <si>
    <t xml:space="preserve">Oil price independent of route</t>
  </si>
  <si>
    <t xml:space="preserve">When false: route closure automatically raises market probability. When true: disruptor physical weapons lose price amplification.</t>
  </si>
  <si>
    <t xml:space="preserve">SHIP COUNT TRACKING — N_base AND FLOW RATIO</t>
  </si>
  <si>
    <t xml:space="preserve">N_base</t>
  </si>
  <si>
    <t xml:space="preserve">Baseline Hormuz ship count</t>
  </si>
  <si>
    <t xml:space="preserve">UPDATE ME</t>
  </si>
  <si>
    <t xml:space="preserve">N/A</t>
  </si>
  <si>
    <t xml:space="preserve">Run sim 60s with no weapons. Count ships in Hormuz lane at equilibrium. Enter that integer here. This is the calibration reference — not a live value. Claude Code reads this once at build time.</t>
  </si>
  <si>
    <t xml:space="preserve">N_current</t>
  </si>
  <si>
    <t xml:space="preserve">Live ship count this tick</t>
  </si>
  <si>
    <t xml:space="preserve">ships.filter(s=&gt;s.lane==='hormuz').length</t>
  </si>
  <si>
    <t xml:space="preserve">→ 0 (blockade)</t>
  </si>
  <si>
    <t xml:space="preserve">→ N_base (escort)</t>
  </si>
  <si>
    <t xml:space="preserve">Computed live in index.html every animation frame. Not stored in this file.</t>
  </si>
  <si>
    <t xml:space="preserve">flow_ratio</t>
  </si>
  <si>
    <t xml:space="preserve">N_current / N_base</t>
  </si>
  <si>
    <t xml:space="preserve">1.0 = normal</t>
  </si>
  <si>
    <t xml:space="preserve">→ 0.0</t>
  </si>
  <si>
    <t xml:space="preserve">→ 1.0</t>
  </si>
  <si>
    <t xml:space="preserve">The cleanest runtime metric. 1.0 = normal traffic. 0.0 = strait closed. Display this on dashboard alongside probability so audience sees market signal AND physical consequence simultaneously.</t>
  </si>
  <si>
    <t xml:space="preserve">SHIP COUNT FORMULA — HORMUZ STRAIT</t>
  </si>
  <si>
    <t xml:space="preserve">Formula: ships_in_strait(t) = N_base × speed_mult × spawn_mult × lane_open × (1 − seized_fraction) × routing_ok × fear_dampener</t>
  </si>
  <si>
    <t xml:space="preserve">Each factor is a multiplier between 0 and 1. They compound multiplicatively — every active weapon reduces the ship count by its share. Final output is an integer. This number feeds directly into the simulation every tick.</t>
  </si>
  <si>
    <t xml:space="preserve">factor_name</t>
  </si>
  <si>
    <t xml:space="preserve">default</t>
  </si>
  <si>
    <t xml:space="preserve">D01
Blockade</t>
  </si>
  <si>
    <t xml:space="preserve">D02
Sanctions</t>
  </si>
  <si>
    <t xml:space="preserve">D03
Seizure</t>
  </si>
  <si>
    <t xml:space="preserve">D05
Insurance</t>
  </si>
  <si>
    <t xml:space="preserve">combined
(all active)</t>
  </si>
  <si>
    <t xml:space="preserve">what it controls in sim</t>
  </si>
  <si>
    <t xml:space="preserve">F1</t>
  </si>
  <si>
    <t xml:space="preserve">N_base  (ships in strait, no weapons)</t>
  </si>
  <si>
    <t xml:space="preserve">Baseline ship count. Set this to match your sim's actual spawn rate. Adjust before each demo.</t>
  </si>
  <si>
    <t xml:space="preserve">F2</t>
  </si>
  <si>
    <t xml:space="preserve">speed_mult  (ship movement speed)</t>
  </si>
  <si>
    <t xml:space="preserve">Compounds with all active weapons. Take the LOWEST active value. Blockade near-halts. Insurance freezes globally.</t>
  </si>
  <si>
    <t xml:space="preserve">F3</t>
  </si>
  <si>
    <t xml:space="preserve">spawn_mult  (new ships entering strait)</t>
  </si>
  <si>
    <t xml:space="preserve">Blockade cuts new arrivals to 20%. Others don't block entry — they affect existing ships.</t>
  </si>
  <si>
    <t xml:space="preserve">F4</t>
  </si>
  <si>
    <t xml:space="preserve">lane_open  (1 = open, 0 = closed)</t>
  </si>
  <si>
    <t xml:space="preserve">Binary gate. Blockade sets to 0 — multiplies entire formula to 0. Naval escort resets to 1.</t>
  </si>
  <si>
    <t xml:space="preserve">F5</t>
  </si>
  <si>
    <t xml:space="preserve">seized_fraction  (1 − this value)</t>
  </si>
  <si>
    <t xml:space="preserve">Tanker seizure removes 25% of vessel class. Formula uses (1 − seized_fraction) so ships_count drops proportionally.</t>
  </si>
  <si>
    <t xml:space="preserve">F6</t>
  </si>
  <si>
    <t xml:space="preserve">routing_ok  (1 = normal, 0.4 = broken)</t>
  </si>
  <si>
    <t xml:space="preserve">Cyber attack sets to 0.4 — ships move but can't reach destinations. 60% effectively disappear from productive flow.</t>
  </si>
  <si>
    <t xml:space="preserve">F7</t>
  </si>
  <si>
    <t xml:space="preserve">fear_dampener  (insurance effect)</t>
  </si>
  <si>
    <t xml:space="preserve">Insurance suspension: global fear stops ships moving. SPR release resets to 1.0 by breaking the fear signal.</t>
  </si>
  <si>
    <t xml:space="preserve">FINAL SHIP COUNT  =  ROUND( N_base × speed_mult × spawn_mult × lane_open × (1−seized_frac) × routing_ok × fear_dampener , 0 )</t>
  </si>
  <si>
    <t xml:space="preserve">Ships remaining in strait when ALL disruptor weapons active simultaneously. This is the worst-case floor.</t>
  </si>
  <si>
    <t xml:space="preserve">SHIP COUNT OVER TIME — 10 MINUTE ROUND SIMULATION</t>
  </si>
  <si>
    <t xml:space="preserve">Each row = one 30s game tick. Weapon states are 1 (active) or 0 (inactive). Ship count recalculates automatically when you toggle weapon states.</t>
  </si>
  <si>
    <t xml:space="preserve">tick</t>
  </si>
  <si>
    <t xml:space="preserve">time (s)</t>
  </si>
  <si>
    <t xml:space="preserve">D01
blockade</t>
  </si>
  <si>
    <t xml:space="preserve">D02
sanctions</t>
  </si>
  <si>
    <t xml:space="preserve">D03
seizure</t>
  </si>
  <si>
    <t xml:space="preserve">D05
insurance</t>
  </si>
  <si>
    <t xml:space="preserve">R01
escort</t>
  </si>
  <si>
    <t xml:space="preserve">R03
alt route</t>
  </si>
  <si>
    <t xml:space="preserve">ships_in_strait</t>
  </si>
  <si>
    <t xml:space="preserve">ships_in_strait = ROUND( N_base × speed_mult × spawn_mult × lane_open × (1−seized_frac) × routing_ok × fear_dampener × alt_route_bonus , 0 )</t>
  </si>
  <si>
    <t xml:space="preserve">Change weapon toggles (1/0) in cols C–H to model any scenario</t>
  </si>
  <si>
    <t xml:space="preserve">ALL 36 OPENING PAIRS — DISRUPTOR × DEFENDER FIRST MOVES</t>
  </si>
  <si>
    <t xml:space="preserve">Every possible first-move combination. Dominance rating: who wins if neither player acts again. Strategic value: what the opening pair signals about the rest of the round. Audience bet timing: best moment for audience to lock in their prediction.</t>
  </si>
  <si>
    <t xml:space="preserve">DOMINANT</t>
  </si>
  <si>
    <t xml:space="preserve">disruptor wins if unanswered</t>
  </si>
  <si>
    <t xml:space="preserve">CONTESTED</t>
  </si>
  <si>
    <t xml:space="preserve">outcome depends on follow-up</t>
  </si>
  <si>
    <t xml:space="preserve">DEFENDER ADV</t>
  </si>
  <si>
    <t xml:space="preserve">defender wins if unanswered</t>
  </si>
  <si>
    <t xml:space="preserve">SLOW TRAP</t>
  </si>
  <si>
    <t xml:space="preserve">slow weapon loading — window to act</t>
  </si>
  <si>
    <t xml:space="preserve">disruptor
weapon_id</t>
  </si>
  <si>
    <t xml:space="preserve">disruptor
weapon_name</t>
  </si>
  <si>
    <t xml:space="preserve">defender
weapon_id</t>
  </si>
  <si>
    <t xml:space="preserve">defender
weapon_name</t>
  </si>
  <si>
    <t xml:space="preserve">dominance</t>
  </si>
  <si>
    <t xml:space="preserve">net_delta
(no follow-up)</t>
  </si>
  <si>
    <t xml:space="preserve">ships_remaining
(t0, N=25)</t>
  </si>
  <si>
    <t xml:space="preserve">strategic_read</t>
  </si>
  <si>
    <t xml:space="preserve">best_audience_bet_moment</t>
  </si>
  <si>
    <t xml:space="preserve">Strait closure</t>
  </si>
  <si>
    <t xml:space="preserve">Naval escort</t>
  </si>
  <si>
    <t xml:space="preserve">CON</t>
  </si>
  <si>
    <t xml:space="preserve">Near-cancel. Escort −18 vs blockade +22. Disruptor holds +4. Lane re-opens but tenuously. Disruptor should follow with D02 or D03.</t>
  </si>
  <si>
    <t xml:space="preserve">Wait 30s — see if escort holds. Bet disruptor if no follow-up counter appears.</t>
  </si>
  <si>
    <t xml:space="preserve">DIS</t>
  </si>
  <si>
    <t xml:space="preserve">Re-flagging does nothing against a blockade. Defender wasted a move. Disruptor has full +22 advantage with no meaningful counter deployed.</t>
  </si>
  <si>
    <t xml:space="preserve">Bet disruptor immediately. Defender played the wrong weapon.</t>
  </si>
  <si>
    <t xml:space="preserve">Alt route activation</t>
  </si>
  <si>
    <t xml:space="preserve">Alt route bypasses blockade partially — reroutes ships at 0.75× speed but lane stays closed. Disruptor maintains significant advantage. Ships visible on Cape route.</t>
  </si>
  <si>
    <t xml:space="preserve">Bet disruptor. Alt route reduces but doesn't cancel. Watch if prob climbs past 60%.</t>
  </si>
  <si>
    <t xml:space="preserve">Back-channel useless against fast physical weapon. Defender deployed wrong weapon class entirely. Disruptor has free run.</t>
  </si>
  <si>
    <t xml:space="preserve">Bet disruptor immediately. Back-channel only works on slow weapons.</t>
  </si>
  <si>
    <t xml:space="preserve">SPR release</t>
  </si>
  <si>
    <t xml:space="preserve">SPR decouples oil price but does nothing to physical blockade. Ships still frozen. Disruptor wins on physical state even if price signal is dampened.</t>
  </si>
  <si>
    <t xml:space="preserve">Bet disruptor. SPR is irrelevant to lane closure.</t>
  </si>
  <si>
    <t xml:space="preserve">Coalition takes 120s to build — blockade hits immediately. But if coalition completes, disruptor decay accelerates 1.5×. Race condition. Outcome depends on round length remaining.</t>
  </si>
  <si>
    <t xml:space="preserve">Hold bet until t=120. If coalition completes before defender is overwhelmed, switch to defender.</t>
  </si>
  <si>
    <t xml:space="preserve">SLW</t>
  </si>
  <si>
    <t xml:space="preserve">Sanctions fires after 60s — escort does nothing to it. Escort is anti-blockade, not anti-sanctions. Slow trap: defender wasted move, sanctions building unopposed.</t>
  </si>
  <si>
    <t xml:space="preserve">Bet disruptor after 60s onset. Escort gave false sense of security.</t>
  </si>
  <si>
    <t xml:space="preserve">Re-flagging explicitly weak vs sanctions. Flag change doesn't override economic exclusion. Sanctions build unopposed.</t>
  </si>
  <si>
    <t xml:space="preserve">Bet disruptor after 60s onset fires. Watch for prob climbing steadily.</t>
  </si>
  <si>
    <t xml:space="preserve">Alt route partially counters sanctions by opening new trade path. Ships reroute at 0.75× but economic damage continues on primary route. Contested outcome.</t>
  </si>
  <si>
    <t xml:space="preserve">Wait for 90s — see if sanctions build rate exceeds alt route recovery rate.</t>
  </si>
  <si>
    <t xml:space="preserve">DEF</t>
  </si>
  <si>
    <t xml:space="preserve">Perfect counter. Back-channel freezes sanctions build rate entirely. Net prob stops climbing. Defender now has time to deploy coalition for full reversal.</t>
  </si>
  <si>
    <t xml:space="preserve">Bet defender if back-channel deployed within 60s of sanctions trigger.</t>
  </si>
  <si>
    <t xml:space="preserve">SPR partially counters by decoupling price signal. Sanctions still reduce cargo value and speed but economic panic is dampened. Contested.</t>
  </si>
  <si>
    <t xml:space="preserve">Hold. Outcome depends on whether defender follows up with back-channel.</t>
  </si>
  <si>
    <t xml:space="preserve">Coalition eventually reverses sanctions slowly — political cost changes. But 120s build time vs 60s onset means disruptor gets one build tick first. Defender wins if patient.</t>
  </si>
  <si>
    <t xml:space="preserve">Bet defender but only after coalition completes at t=120.</t>
  </si>
  <si>
    <t xml:space="preserve">Escort prevents further seizures but doesn't restore seized vessel. Net: seizure stands, fleet reduced by 25%. Disruptor ahead but contained.</t>
  </si>
  <si>
    <t xml:space="preserve">Bet disruptor if no re-flagging follows. Watch ship count for further drops.</t>
  </si>
  <si>
    <t xml:space="preserve">Perfect counter. Re-flagging directly restores seized vessel. Net cancels. Very slow R02 decay means protection lasts most of round.</t>
  </si>
  <si>
    <t xml:space="preserve">Bet defender immediately. This is the exact counter weapon.</t>
  </si>
  <si>
    <t xml:space="preserve">Alt route doesn't restore seized vessel — just reroutes around it. Fleet still reduced 25%. Disruptor maintains full seizure advantage.</t>
  </si>
  <si>
    <t xml:space="preserve">Bet disruptor. Alt route is the wrong counter to seizure.</t>
  </si>
  <si>
    <t xml:space="preserve">Back-channel is anti-slow-weapon only. Does nothing to fast physical seizure. Defender wasted move.</t>
  </si>
  <si>
    <t xml:space="preserve">Bet disruptor immediately.</t>
  </si>
  <si>
    <t xml:space="preserve">SPR decouples price but seized vessel stays gone. Physical reduction stands regardless of economic signal.</t>
  </si>
  <si>
    <t xml:space="preserve">Bet disruptor. SPR can't restore ships.</t>
  </si>
  <si>
    <t xml:space="preserve">Coalition accelerates seizure decay (1.5×) but slow build time means disruptor holds advantage for first 2 minutes. Race condition.</t>
  </si>
  <si>
    <t xml:space="preserve">Hold bet until t=120. If coalition completes, switch to defender.</t>
  </si>
  <si>
    <t xml:space="preserve">Port strike</t>
  </si>
  <si>
    <t xml:space="preserve">Escort protects ships at sea but port node is destroyed — no new spawns. Defender countered the wrong threat vector entirely.</t>
  </si>
  <si>
    <t xml:space="preserve">Bet disruptor immediately. Port down means no new ships regardless of escort.</t>
  </si>
  <si>
    <t xml:space="preserve">Re-flagging irrelevant to infrastructure strike. Port stays destroyed.</t>
  </si>
  <si>
    <t xml:space="preserve">Alt route opens secondary port — partially restores spawn. Both effects visible simultaneously: broken port + new Cape route. Contested but disruptor retains advantage.</t>
  </si>
  <si>
    <t xml:space="preserve">Wait 30s for alt route onset. If secondary port activates, bet contested — watch which route dominates.</t>
  </si>
  <si>
    <t xml:space="preserve">Back-channel useless vs fast physical destruction. Port stays down.</t>
  </si>
  <si>
    <t xml:space="preserve">SPR irrelevant to physical infrastructure. Port destroyed regardless.</t>
  </si>
  <si>
    <t xml:space="preserve">Coalition accelerates port strike decay but 120s build vs immediate strike means port is down for 2+ minutes. Audience sees empty spawn zone for most of round.</t>
  </si>
  <si>
    <t xml:space="preserve">Bet disruptor for first 2 minutes. Switch to defender if coalition completes and prob starts falling.</t>
  </si>
  <si>
    <t xml:space="preserve">Insurance suspension</t>
  </si>
  <si>
    <t xml:space="preserve">Classic mismatch. Escort is anti-physical, insurance suspension is economic. 90s onset coming — escort does nothing to stop it. Slow trap for defender.</t>
  </si>
  <si>
    <t xml:space="preserve">Bet disruptor after t=240 (onset at 90s from trigger). Watch for global ship slowdown.</t>
  </si>
  <si>
    <t xml:space="preserve">Re-flagging irrelevant to global insurance market. Ships stop moving due to fear signal, not flag status.</t>
  </si>
  <si>
    <t xml:space="preserve">Bet disruptor after onset fires at t+90.</t>
  </si>
  <si>
    <t xml:space="preserve">Alt route reduces economic damage but insurance suspension freezes ships globally — not route-specific. Ships slow everywhere, not just Hormuz.</t>
  </si>
  <si>
    <t xml:space="preserve">Bet disruptor after onset. Global effect dwarfs alt route benefit.</t>
  </si>
  <si>
    <t xml:space="preserve">Back-channel partially freezes insurance build rate. Not a full counter but slows the compounding. Contested — outcome depends on whether defender follows with SPR.</t>
  </si>
  <si>
    <t xml:space="preserve">Hold. If SPR follows back-channel, switch to defender. Otherwise disruptor wins slowly.</t>
  </si>
  <si>
    <t xml:space="preserve">Perfect counter. SPR breaks fear signal — the exact mechanism driving insurance suspension. If deployed before 90s onset, D05 never activates at all.</t>
  </si>
  <si>
    <t xml:space="preserve">Bet defender immediately if SPR deployed within 90s of D05 trigger. This is the timing window.</t>
  </si>
  <si>
    <t xml:space="preserve">Coalition accelerates D05 decay but 120s build vs 90s onset means insurance fires first. Very close. Coalition + back-channel together would flip to defender.</t>
  </si>
  <si>
    <t xml:space="preserve">Hold until t=120. Watch whether coalition completes before insurance fully builds.</t>
  </si>
  <si>
    <t xml:space="preserve">Cyber attack</t>
  </si>
  <si>
    <t xml:space="preserve">Escort protects physical movement but routing is broken — ships can't reach destinations regardless. Cyber and physical are different threat layers. Escort wrong counter.</t>
  </si>
  <si>
    <t xml:space="preserve">Bet disruptor. Ships moving but going nowhere — visible chaos on map.</t>
  </si>
  <si>
    <t xml:space="preserve">Re-flagging is vessel protection, not system restoration. Routing stays broken.</t>
  </si>
  <si>
    <t xml:space="preserve">Alt route bypasses broken routing nodes — partial counter. Ships can reach alt port. Cyber attack chaos visible in Hormuz lane, alt lane flowing.</t>
  </si>
  <si>
    <t xml:space="preserve">Wait 30s for alt route onset. If ships reroute successfully, move to contested.</t>
  </si>
  <si>
    <t xml:space="preserve">Back-channel is for slow economic weapons. Useless vs fast cyber attack.</t>
  </si>
  <si>
    <t xml:space="preserve">SPR is economic counter. Cyber attack is operational. Different layers — no interaction.</t>
  </si>
  <si>
    <t xml:space="preserve">Coalition accelerates cyber decay (1.5×). D06 decays at −2/30s normally → −3/30s with coalition. Routing restores after ~80s instead of 120s. Outcome contested.</t>
  </si>
  <si>
    <t xml:space="preserve">Hold bet until t=60. If routing starts resolving, switch to defender.</t>
  </si>
  <si>
    <t xml:space="preserve">Total pairs: 36</t>
  </si>
  <si>
    <t xml:space="preserve">Disruptor dominant: 18</t>
  </si>
  <si>
    <t xml:space="preserve">Contested: 12</t>
  </si>
  <si>
    <t xml:space="preserve">Defender advantage: 4</t>
  </si>
  <si>
    <t xml:space="preserve">Slow traps: 2</t>
  </si>
  <si>
    <t xml:space="preserve">Instant collapse (ships=0): D01+any wrong counter, D04+any wrong counter</t>
  </si>
  <si>
    <t xml:space="preserve">SHEET</t>
  </si>
  <si>
    <t xml:space="preserve">PURPOSE</t>
  </si>
  <si>
    <t xml:space="preserve">Weapons Master</t>
  </si>
  <si>
    <t xml:space="preserve">One row per weapon. Feed weapon_id into your object detection lookup. Apply prob_delta on trigger, then run decay/build on each game tick.</t>
  </si>
  <si>
    <t xml:space="preserve">Interactions</t>
  </si>
  <si>
    <t xml:space="preserve">When two weapons are simultaneously active, check this table for net_delta override. outcome_winner feeds directly into round scoring.</t>
  </si>
  <si>
    <t xml:space="preserve">Sim Parameters</t>
  </si>
  <si>
    <t xml:space="preserve">Maps each param_key to a simulationState variable. On weapon trigger, iterate sim_trigger_key string, parse key=value pairs, apply to state.</t>
  </si>
  <si>
    <t xml:space="preserve">HOW TO USE</t>
  </si>
  <si>
    <t xml:space="preserve">Object detected</t>
  </si>
  <si>
    <t xml:space="preserve">1. Classify object → get weapon_id (e.g. D01) - Need to define 6 more objects. </t>
  </si>
  <si>
    <t xml:space="preserve">2. Look up row in Weapons Master by weapon_id</t>
  </si>
  <si>
    <t xml:space="preserve">3. Apply prob_delta to marketState.contracts[activeContract].prob - Does this even exist?</t>
  </si>
  <si>
    <t xml:space="preserve">4. Set onset timer = onset_s. Do not apply prob_delta until timer fires.</t>
  </si>
  <si>
    <t xml:space="preserve">5. Every 30s game tick: apply decay_per_30s (fast) or build_per_30s (slow)</t>
  </si>
  <si>
    <t xml:space="preserve">6. Parse sim_trigger_key string → apply each key=value to simulationState</t>
  </si>
  <si>
    <t xml:space="preserve">7. Check Interactions sheet — if opponent weapon also active, use net_delta</t>
  </si>
  <si>
    <t xml:space="preserve">8. On round end: compare closing prob vs openingProb → award points</t>
  </si>
  <si>
    <t xml:space="preserve">FAST vs SLOW</t>
  </si>
  <si>
    <t xml:space="preserve">Fast weapons: prob_delta applies immediately on trigger. Decay begins immediately.</t>
  </si>
  <si>
    <t xml:space="preserve">Slow weapons: onset_s delay before prob_delta applies. build_per_30s then compounds.</t>
  </si>
  <si>
    <t xml:space="preserve">Strategy note: fast weapons win if unanswered. Slow weapons win if deployed early and ignored.</t>
  </si>
  <si>
    <t xml:space="preserve">COMPOUND RULES</t>
  </si>
  <si>
    <t xml:space="preserve">If multiple disruptor weapons active: apply lowest speed_mult of all active weapons.</t>
  </si>
  <si>
    <t xml:space="preserve">If coalition_active=true: multiply all disruptor decay_per_30s by disruptor_decay_mult (1.5).</t>
  </si>
  <si>
    <t xml:space="preserve">fear_signal=true adds +15% weight to disruptor outcome in audience betting.</t>
  </si>
  <si>
    <t xml:space="preserve">Sanctions + insurance suspension together: cargo_value_mult compounds multiplicatively.</t>
  </si>
  <si>
    <t xml:space="preserve">SCORING SYSTEM — MARITIME PREDICTION MARKET GAME</t>
  </si>
  <si>
    <t xml:space="preserve">One question. One contract. Best of 3. The probability is the drama. The lane state is the verdict.</t>
  </si>
  <si>
    <t xml:space="preserve">THE CONTRACT QUESTION  (same question all 3 rounds)</t>
  </si>
  <si>
    <t xml:space="preserve">"Will the Strait of Hormuz remain open by round end?"</t>
  </si>
  <si>
    <t xml:space="preserve">ROUND WINNER — one boolean check at round end</t>
  </si>
  <si>
    <t xml:space="preserve">sim_variable</t>
  </si>
  <si>
    <t xml:space="preserve">condition</t>
  </si>
  <si>
    <t xml:space="preserve">round_winner</t>
  </si>
  <si>
    <t xml:space="preserve">code_check</t>
  </si>
  <si>
    <t xml:space="preserve">dashboard_state</t>
  </si>
  <si>
    <t xml:space="preserve">note</t>
  </si>
  <si>
    <t xml:space="preserve">simState.hormuz_lane</t>
  </si>
  <si>
    <t xml:space="preserve">closed  —  at round end</t>
  </si>
  <si>
    <t xml:space="preserve">DISRUPTOR WINS</t>
  </si>
  <si>
    <t xml:space="preserve">if (simState.hormuz_lane === 'closed') { scores.disruptor++ }</t>
  </si>
  <si>
    <t xml:space="preserve">RED — CLOSED</t>
  </si>
  <si>
    <t xml:space="preserve">Strait closed. Disruptor wins the round.</t>
  </si>
  <si>
    <t xml:space="preserve">open  —  at round end</t>
  </si>
  <si>
    <t xml:space="preserve">DEFENDER WINS</t>
  </si>
  <si>
    <t xml:space="preserve">if (simState.hormuz_lane === 'open') { scores.defender++ }</t>
  </si>
  <si>
    <t xml:space="preserve">GREEN — OPEN</t>
  </si>
  <si>
    <t xml:space="preserve">Strait open. Defender wins the round.</t>
  </si>
  <si>
    <t xml:space="preserve">GAME WINNER — first to 2 round wins</t>
  </si>
  <si>
    <t xml:space="preserve">scores</t>
  </si>
  <si>
    <t xml:space="preserve">game_result</t>
  </si>
  <si>
    <t xml:space="preserve">role_swap</t>
  </si>
  <si>
    <t xml:space="preserve">scores.disruptor</t>
  </si>
  <si>
    <t xml:space="preserve">&gt;= 2</t>
  </si>
  <si>
    <t xml:space="preserve">DISRUPTOR WINS GAME</t>
  </si>
  <si>
    <t xml:space="preserve">if (scores.disruptor &gt;= 2) endGame('disruptor')</t>
  </si>
  <si>
    <t xml:space="preserve">No swap — game over</t>
  </si>
  <si>
    <t xml:space="preserve">First to 2 takes the game.</t>
  </si>
  <si>
    <t xml:space="preserve">scores.defender</t>
  </si>
  <si>
    <t xml:space="preserve">DEFENDER WINS GAME</t>
  </si>
  <si>
    <t xml:space="preserve">if (scores.defender &gt;= 2) endGame('defender')</t>
  </si>
  <si>
    <t xml:space="preserve">after round 1</t>
  </si>
  <si>
    <t xml:space="preserve">score is 0-1 or 1-0</t>
  </si>
  <si>
    <t xml:space="preserve">continue to round 2</t>
  </si>
  <si>
    <t xml:space="preserve">startRound(2); swapRoles()</t>
  </si>
  <si>
    <t xml:space="preserve">YES — loser becomes disruptor</t>
  </si>
  <si>
    <t xml:space="preserve">Loser of round 1 takes the disruptor role in round 2.</t>
  </si>
  <si>
    <t xml:space="preserve">after round 2</t>
  </si>
  <si>
    <t xml:space="preserve">score is 1-1</t>
  </si>
  <si>
    <t xml:space="preserve">continue to round 3</t>
  </si>
  <si>
    <t xml:space="preserve">startRound(3); swapRoles()</t>
  </si>
  <si>
    <t xml:space="preserve">Loser of round 2 takes the disruptor role in round 3.</t>
  </si>
  <si>
    <t xml:space="preserve">AUDIENCE SCORING — per round</t>
  </si>
  <si>
    <t xml:space="preserve">bet_outcome</t>
  </si>
  <si>
    <t xml:space="preserve">points</t>
  </si>
  <si>
    <t xml:space="preserve">timing</t>
  </si>
  <si>
    <t xml:space="preserve">leaderboard</t>
  </si>
  <si>
    <t xml:space="preserve">correct bet</t>
  </si>
  <si>
    <t xml:space="preserve">audience_bet === actual hormuz_lane at round end</t>
  </si>
  <si>
    <t xml:space="preserve">+10 pts</t>
  </si>
  <si>
    <t xml:space="preserve">immediately after round end verdict</t>
  </si>
  <si>
    <t xml:space="preserve">push to market_screen.html</t>
  </si>
  <si>
    <t xml:space="preserve">Audience bets 'open' or 'closed' at round start. One bet per round. Resolves at bell.</t>
  </si>
  <si>
    <t xml:space="preserve">wrong bet</t>
  </si>
  <si>
    <t xml:space="preserve">audience_bet !== actual hormuz_lane at round end</t>
  </si>
  <si>
    <t xml:space="preserve">+0 pts</t>
  </si>
  <si>
    <t xml:space="preserve">No penalty. Low-stakes. Keeps participation comfortable.</t>
  </si>
  <si>
    <t xml:space="preserve">late bet (optional)</t>
  </si>
  <si>
    <t xml:space="preserve">bet placed with &lt; 30s remaining on round timer</t>
  </si>
  <si>
    <t xml:space="preserve">+5 pts if correct</t>
  </si>
  <si>
    <t xml:space="preserve">flag as LATE on leaderboard</t>
  </si>
  <si>
    <t xml:space="preserve">Optional rule. Encodes the information asymmetry thesis — late bettors have more info, so smaller payout.</t>
  </si>
  <si>
    <t xml:space="preserve">PROBABILITY THRESHOLDS — dashboard display only, not used for scoring</t>
  </si>
  <si>
    <t xml:space="preserve">prob_range</t>
  </si>
  <si>
    <t xml:space="preserve">color</t>
  </si>
  <si>
    <t xml:space="preserve">label</t>
  </si>
  <si>
    <t xml:space="preserve">meaning</t>
  </si>
  <si>
    <t xml:space="preserve">audience_signal</t>
  </si>
  <si>
    <t xml:space="preserve">prob &gt; 65%</t>
  </si>
  <si>
    <t xml:space="preserve">RED #993C1D</t>
  </si>
  <si>
    <t xml:space="preserve">DANGER</t>
  </si>
  <si>
    <t xml:space="preserve">Disruptor dominating — strait under serious threat</t>
  </si>
  <si>
    <t xml:space="preserve">Bet CLOSED — strong signal</t>
  </si>
  <si>
    <t xml:space="preserve">Dashboard pulses red. Ships barely moving.</t>
  </si>
  <si>
    <t xml:space="preserve">35% – 65%</t>
  </si>
  <si>
    <t xml:space="preserve">AMBER #EF9F27</t>
  </si>
  <si>
    <t xml:space="preserve">Neither player clearly winning</t>
  </si>
  <si>
    <t xml:space="preserve">Hold — outcome uncertain</t>
  </si>
  <si>
    <t xml:space="preserve">Most interesting state. Audience attention peaks.</t>
  </si>
  <si>
    <t xml:space="preserve">prob &lt; 35%</t>
  </si>
  <si>
    <t xml:space="preserve">GREEN #0F6E56</t>
  </si>
  <si>
    <t xml:space="preserve">STABLE</t>
  </si>
  <si>
    <t xml:space="preserve">Defender dominating — strait flowing normally</t>
  </si>
  <si>
    <t xml:space="preserve">Bet OPEN — strong signal</t>
  </si>
  <si>
    <t xml:space="preserve">Dashboard calm. Ships at normal speed.</t>
  </si>
  <si>
    <t xml:space="preserve">FLOW RATIO — connect ship count to dashboard</t>
  </si>
  <si>
    <t xml:space="preserve">0.0 = closed
1.0 = normal</t>
  </si>
  <si>
    <t xml:space="preserve">ships.filter(s=&gt;s.lane==='hormuz').length / N_base</t>
  </si>
  <si>
    <t xml:space="preserve">drives ship density bar
on market_screen dashboard</t>
  </si>
  <si>
    <t xml:space="preserve">Display flow_ratio alongside prob so audience sees both the market signal AND the physical consequence. They converge: when prob &gt; 65%, flow_ratio should be near 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</si>
</sst>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1"/>
      <color rgb="FFC00000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sz val="9"/>
      <color rgb="FF88878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sz val="9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sz val="8"/>
      <color theme="1"/>
      <name val="Courier New"/>
      <family val="3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9"/>
      <color theme="1"/>
      <name val="Courier New"/>
      <family val="3"/>
      <charset val="1"/>
    </font>
    <font>
      <b val="true"/>
      <sz val="9"/>
      <color theme="1"/>
      <name val="Arial"/>
      <family val="2"/>
      <charset val="1"/>
    </font>
    <font>
      <b val="true"/>
      <i val="true"/>
      <sz val="9"/>
      <color theme="1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C2C2A"/>
      <name val="Courier New"/>
      <family val="0"/>
      <charset val="1"/>
    </font>
    <font>
      <sz val="9"/>
      <color rgb="FF444441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993C1D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i val="true"/>
      <sz val="9"/>
      <color rgb="FF534AB7"/>
      <name val="Arial"/>
      <family val="0"/>
      <charset val="1"/>
    </font>
    <font>
      <b val="true"/>
      <sz val="10"/>
      <color rgb="FF888780"/>
      <name val="Arial"/>
      <family val="0"/>
      <charset val="1"/>
    </font>
    <font>
      <b val="true"/>
      <sz val="11"/>
      <color rgb="FFFFFFFF"/>
      <name val="Courier New"/>
      <family val="3"/>
      <charset val="1"/>
    </font>
    <font>
      <b val="true"/>
      <sz val="9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0"/>
      <color rgb="FFFFFFFF"/>
      <name val="Courier New"/>
      <family val="3"/>
      <charset val="1"/>
    </font>
    <font>
      <i val="true"/>
      <sz val="9"/>
      <color rgb="FF2C2C2A"/>
      <name val="Arial"/>
      <family val="2"/>
      <charset val="1"/>
    </font>
    <font>
      <sz val="9"/>
      <color rgb="FFFF0000"/>
      <name val="Arial"/>
      <family val="2"/>
      <charset val="1"/>
    </font>
    <font>
      <b val="true"/>
      <sz val="9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9"/>
      <color rgb="FFFFFFFF"/>
      <name val="Courier New"/>
      <family val="3"/>
      <charset val="1"/>
    </font>
    <font>
      <i val="true"/>
      <sz val="9"/>
      <color rgb="FF534AB7"/>
      <name val="Arial"/>
      <family val="2"/>
      <charset val="1"/>
    </font>
    <font>
      <b val="true"/>
      <sz val="9"/>
      <color rgb="FF712B13"/>
      <name val="Arial"/>
      <family val="2"/>
      <charset val="1"/>
    </font>
    <font>
      <b val="true"/>
      <sz val="9"/>
      <color rgb="FF854F0B"/>
      <name val="Arial"/>
      <family val="2"/>
      <charset val="1"/>
    </font>
    <font>
      <b val="true"/>
      <sz val="9"/>
      <color rgb="FF3B6D11"/>
      <name val="Arial"/>
      <family val="2"/>
      <charset val="1"/>
    </font>
    <font>
      <b val="true"/>
      <sz val="9"/>
      <color rgb="FF185FA5"/>
      <name val="Arial"/>
      <family val="2"/>
      <charset val="1"/>
    </font>
    <font>
      <b val="true"/>
      <sz val="10"/>
      <color rgb="FF993C1D"/>
      <name val="Arial"/>
      <family val="2"/>
      <charset val="1"/>
    </font>
    <font>
      <b val="true"/>
      <sz val="9"/>
      <color rgb="FF993C1D"/>
      <name val="Arial"/>
      <family val="2"/>
      <charset val="1"/>
    </font>
    <font>
      <b val="true"/>
      <sz val="10"/>
      <color rgb="FF0F6E56"/>
      <name val="Arial"/>
      <family val="2"/>
      <charset val="1"/>
    </font>
    <font>
      <b val="true"/>
      <sz val="9"/>
      <color rgb="FF0F6E56"/>
      <name val="Arial"/>
      <family val="2"/>
      <charset val="1"/>
    </font>
    <font>
      <b val="true"/>
      <sz val="10"/>
      <color rgb="FF854F0B"/>
      <name val="Arial"/>
      <family val="2"/>
      <charset val="1"/>
    </font>
    <font>
      <b val="true"/>
      <sz val="12"/>
      <color rgb="FF993C1D"/>
      <name val="Arial"/>
      <family val="2"/>
      <charset val="1"/>
    </font>
    <font>
      <b val="true"/>
      <sz val="12"/>
      <color rgb="FFA32D2D"/>
      <name val="Arial"/>
      <family val="2"/>
      <charset val="1"/>
    </font>
    <font>
      <sz val="8"/>
      <color rgb="FF2C2C2A"/>
      <name val="Arial"/>
      <family val="2"/>
      <charset val="1"/>
    </font>
    <font>
      <sz val="8"/>
      <color rgb="FF534AB7"/>
      <name val="Arial"/>
      <family val="2"/>
      <charset val="1"/>
    </font>
    <font>
      <b val="true"/>
      <sz val="10"/>
      <color rgb="FF712B13"/>
      <name val="Arial"/>
      <family val="2"/>
      <charset val="1"/>
    </font>
    <font>
      <b val="true"/>
      <sz val="10"/>
      <color rgb="FF185FA5"/>
      <name val="Arial"/>
      <family val="2"/>
      <charset val="1"/>
    </font>
    <font>
      <b val="true"/>
      <sz val="12"/>
      <color rgb="FF854F0B"/>
      <name val="Arial"/>
      <family val="2"/>
      <charset val="1"/>
    </font>
    <font>
      <b val="true"/>
      <sz val="12"/>
      <color rgb="FF0F6E56"/>
      <name val="Arial"/>
      <family val="2"/>
      <charset val="1"/>
    </font>
    <font>
      <b val="true"/>
      <sz val="10"/>
      <color rgb="FF3B6D11"/>
      <name val="Arial"/>
      <family val="2"/>
      <charset val="1"/>
    </font>
    <font>
      <b val="true"/>
      <sz val="12"/>
      <color rgb="FF888780"/>
      <name val="Arial"/>
      <family val="2"/>
      <charset val="1"/>
    </font>
    <font>
      <sz val="10"/>
      <color rgb="FF854F0B"/>
      <name val="Arial"/>
      <family val="2"/>
      <charset val="1"/>
    </font>
    <font>
      <b val="true"/>
      <sz val="9"/>
      <color rgb="FF2C2C2A"/>
      <name val="Arial"/>
      <family val="2"/>
      <charset val="1"/>
    </font>
    <font>
      <sz val="9"/>
      <color rgb="FF2C2C2A"/>
      <name val="Arial"/>
      <family val="2"/>
      <charset val="1"/>
    </font>
    <font>
      <sz val="9"/>
      <color rgb="FF534AB7"/>
      <name val="Arial"/>
      <family val="2"/>
      <charset val="1"/>
    </font>
    <font>
      <b val="true"/>
      <sz val="14"/>
      <color rgb="FFFFFFFF"/>
      <name val="Arial"/>
      <family val="0"/>
      <charset val="1"/>
    </font>
    <font>
      <sz val="9"/>
      <color rgb="FF888780"/>
      <name val="Arial"/>
      <family val="0"/>
      <charset val="1"/>
    </font>
    <font>
      <b val="true"/>
      <i val="true"/>
      <sz val="16"/>
      <color rgb="FF2C2C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2C2C2A"/>
      <name val="Courier New"/>
      <family val="0"/>
      <charset val="1"/>
    </font>
    <font>
      <sz val="9"/>
      <color rgb="FF2C2C2A"/>
      <name val="Arial"/>
      <family val="0"/>
      <charset val="1"/>
    </font>
    <font>
      <b val="true"/>
      <sz val="12"/>
      <color rgb="FF993C1D"/>
      <name val="Arial"/>
      <family val="0"/>
      <charset val="1"/>
    </font>
    <font>
      <sz val="8"/>
      <color rgb="FF534AB7"/>
      <name val="Courier New"/>
      <family val="0"/>
      <charset val="1"/>
    </font>
    <font>
      <b val="true"/>
      <sz val="12"/>
      <color rgb="FF0F6E56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13"/>
      <color rgb="FF0F6E56"/>
      <name val="Arial"/>
      <family val="0"/>
      <charset val="1"/>
    </font>
    <font>
      <sz val="9"/>
      <color rgb="FF534AB7"/>
      <name val="Arial"/>
      <family val="0"/>
      <charset val="1"/>
    </font>
    <font>
      <b val="true"/>
      <sz val="9"/>
      <color rgb="FF993C1D"/>
      <name val="Arial"/>
      <family val="0"/>
      <charset val="1"/>
    </font>
    <font>
      <b val="true"/>
      <sz val="13"/>
      <color rgb="FF993C1D"/>
      <name val="Arial"/>
      <family val="0"/>
      <charset val="1"/>
    </font>
    <font>
      <b val="true"/>
      <sz val="9"/>
      <color rgb="FF888780"/>
      <name val="Arial"/>
      <family val="0"/>
      <charset val="1"/>
    </font>
    <font>
      <b val="true"/>
      <sz val="13"/>
      <color rgb="FF888780"/>
      <name val="Arial"/>
      <family val="0"/>
      <charset val="1"/>
    </font>
    <font>
      <b val="true"/>
      <sz val="11"/>
      <color rgb="FF993C1D"/>
      <name val="Arial"/>
      <family val="0"/>
      <charset val="1"/>
    </font>
    <font>
      <b val="true"/>
      <sz val="11"/>
      <color rgb="FF854F0B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12"/>
      <color rgb="FF854F0B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1"/>
      <color rgb="FF2C2C2A"/>
      <name val="Arial"/>
      <family val="0"/>
      <charset val="1"/>
    </font>
    <font>
      <sz val="10"/>
      <color rgb="FF88878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C2C2A"/>
        <bgColor rgb="FF444441"/>
      </patternFill>
    </fill>
    <fill>
      <patternFill patternType="solid">
        <fgColor rgb="FF444441"/>
        <bgColor rgb="FF2C2C2A"/>
      </patternFill>
    </fill>
    <fill>
      <patternFill patternType="solid">
        <fgColor theme="0" tint="-0.05"/>
        <bgColor rgb="FFF1EFE8"/>
      </patternFill>
    </fill>
    <fill>
      <patternFill patternType="solid">
        <fgColor rgb="FFF1EFE8"/>
        <bgColor rgb="FFF2F2F2"/>
      </patternFill>
    </fill>
    <fill>
      <patternFill patternType="solid">
        <fgColor rgb="FFFAEEDA"/>
        <bgColor rgb="FFFAECE7"/>
      </patternFill>
    </fill>
    <fill>
      <patternFill patternType="solid">
        <fgColor rgb="FFFFFFFF"/>
        <bgColor rgb="FFF2F2F2"/>
      </patternFill>
    </fill>
    <fill>
      <patternFill patternType="solid">
        <fgColor rgb="FFFAECE7"/>
        <bgColor rgb="FFFAEEDA"/>
      </patternFill>
    </fill>
    <fill>
      <patternFill patternType="solid">
        <fgColor rgb="FFE1F5EE"/>
        <bgColor rgb="FFE6F1FB"/>
      </patternFill>
    </fill>
    <fill>
      <patternFill patternType="solid">
        <fgColor theme="0" tint="-0.25"/>
        <bgColor rgb="FFAAAAAA"/>
      </patternFill>
    </fill>
    <fill>
      <patternFill patternType="solid">
        <fgColor rgb="FF993C1D"/>
        <bgColor rgb="FFA32D2D"/>
      </patternFill>
    </fill>
    <fill>
      <patternFill patternType="solid">
        <fgColor rgb="FFE6F1FB"/>
        <bgColor rgb="FFE1F5EE"/>
      </patternFill>
    </fill>
  </fills>
  <borders count="51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  <border diagonalUp="false" diagonalDown="false">
      <left style="medium"/>
      <right style="thin">
        <color rgb="FFDDDDDD"/>
      </right>
      <top style="medium"/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medium"/>
      <bottom style="thin">
        <color rgb="FFDDDDDD"/>
      </bottom>
      <diagonal/>
    </border>
    <border diagonalUp="false" diagonalDown="false">
      <left style="thin">
        <color rgb="FFDDDDDD"/>
      </left>
      <right style="medium"/>
      <top style="medium"/>
      <bottom style="thin">
        <color rgb="FFDDDDDD"/>
      </bottom>
      <diagonal/>
    </border>
    <border diagonalUp="false" diagonalDown="false">
      <left style="medium"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medium"/>
      <top style="thin">
        <color rgb="FFDDDDDD"/>
      </top>
      <bottom style="thin">
        <color rgb="FFDDDDDD"/>
      </bottom>
      <diagonal/>
    </border>
    <border diagonalUp="false" diagonalDown="false">
      <left style="medium"/>
      <right style="thin">
        <color rgb="FFDDDDDD"/>
      </right>
      <top style="thin">
        <color rgb="FFDDDDDD"/>
      </top>
      <bottom style="medium"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medium"/>
      <diagonal/>
    </border>
    <border diagonalUp="false" diagonalDown="false">
      <left style="thin">
        <color rgb="FFDDDDDD"/>
      </left>
      <right style="medium"/>
      <top style="thin">
        <color rgb="FFDDDDDD"/>
      </top>
      <bottom style="medium"/>
      <diagonal/>
    </border>
    <border diagonalUp="false" diagonalDown="false">
      <left style="medium">
        <color rgb="FF888780"/>
      </left>
      <right style="medium">
        <color rgb="FF888780"/>
      </right>
      <top style="medium">
        <color rgb="FF888780"/>
      </top>
      <bottom style="medium">
        <color rgb="FF888780"/>
      </bottom>
      <diagonal/>
    </border>
    <border diagonalUp="false" diagonalDown="false">
      <left style="medium"/>
      <right style="medium"/>
      <top style="medium"/>
      <bottom style="thin">
        <color rgb="FFDDDDDD"/>
      </bottom>
      <diagonal/>
    </border>
    <border diagonalUp="false" diagonalDown="false">
      <left style="medium"/>
      <right style="medium"/>
      <top style="thin">
        <color rgb="FFDDDDDD"/>
      </top>
      <bottom style="thin">
        <color rgb="FFDDDDDD"/>
      </bottom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>
        <color rgb="FFAAAAAA"/>
      </right>
      <top style="medium">
        <color rgb="FFAAAAAA"/>
      </top>
      <bottom style="medium">
        <color rgb="FFAAAAAA"/>
      </bottom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 diagonalUp="false" diagonalDown="false">
      <left style="medium">
        <color rgb="FFAAAAAA"/>
      </left>
      <right style="medium"/>
      <top style="medium">
        <color rgb="FFAAAAAA"/>
      </top>
      <bottom/>
      <diagonal/>
    </border>
    <border diagonalUp="false" diagonalDown="false">
      <left style="medium"/>
      <right/>
      <top style="thin">
        <color rgb="FFDDDDDD"/>
      </top>
      <bottom style="thin">
        <color rgb="FFDDDDDD"/>
      </bottom>
      <diagonal/>
    </border>
    <border diagonalUp="false" diagonalDown="false">
      <left style="medium"/>
      <right/>
      <top style="medium">
        <color rgb="FFAAAAAA"/>
      </top>
      <bottom style="medium"/>
      <diagonal/>
    </border>
    <border diagonalUp="false" diagonalDown="false">
      <left style="medium">
        <color rgb="FFAAAAAA"/>
      </left>
      <right style="medium">
        <color rgb="FFAAAAAA"/>
      </right>
      <top/>
      <bottom style="medium"/>
      <diagonal/>
    </border>
    <border diagonalUp="false" diagonalDown="false">
      <left style="thin">
        <color rgb="FFDDDDDD"/>
      </left>
      <right style="medium"/>
      <top/>
      <bottom style="medium"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medium"/>
      <right style="medium">
        <color rgb="FFAAAAAA"/>
      </right>
      <top style="medium"/>
      <bottom style="medium"/>
      <diagonal/>
    </border>
    <border diagonalUp="false" diagonalDown="false">
      <left style="medium">
        <color rgb="FFAAAAAA"/>
      </left>
      <right style="medium">
        <color rgb="FFAAAAAA"/>
      </right>
      <top style="medium"/>
      <bottom style="medium"/>
      <diagonal/>
    </border>
    <border diagonalUp="false" diagonalDown="false">
      <left style="medium">
        <color rgb="FFAAAAAA"/>
      </left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>
        <color rgb="FF888780"/>
      </left>
      <right/>
      <top style="medium">
        <color rgb="FF888780"/>
      </top>
      <bottom/>
      <diagonal/>
    </border>
    <border diagonalUp="false" diagonalDown="false">
      <left style="medium"/>
      <right style="medium"/>
      <top style="medium"/>
      <bottom style="medium">
        <color rgb="FF888780"/>
      </bottom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>
        <color rgb="FF888780"/>
      </left>
      <right style="medium">
        <color rgb="FF888780"/>
      </right>
      <top style="medium">
        <color rgb="FF888780"/>
      </top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>
        <color rgb="FFDDDDDD"/>
      </right>
      <top style="medium"/>
      <bottom style="medium"/>
      <diagonal/>
    </border>
    <border diagonalUp="false" diagonalDown="false">
      <left style="thin">
        <color rgb="FFDDDDDD"/>
      </left>
      <right style="medium"/>
      <top style="medium"/>
      <bottom style="medium"/>
      <diagonal/>
    </border>
    <border diagonalUp="false" diagonalDown="false">
      <left style="thin">
        <color rgb="FFDDDDDD"/>
      </left>
      <right style="thin">
        <color rgb="FFDDDDDD"/>
      </right>
      <top/>
      <bottom/>
      <diagonal/>
    </border>
    <border diagonalUp="false" diagonalDown="false">
      <left style="medium"/>
      <right style="thin">
        <color rgb="FFDDDDDD"/>
      </right>
      <top/>
      <bottom style="thin">
        <color rgb="FFDDDDDD"/>
      </bottom>
      <diagonal/>
    </border>
    <border diagonalUp="false" diagonalDown="false">
      <left style="thin">
        <color rgb="FFDDDDDD"/>
      </left>
      <right style="medium"/>
      <top/>
      <bottom style="thin">
        <color rgb="FFDDDDDD"/>
      </bottom>
      <diagonal/>
    </border>
    <border diagonalUp="false" diagonalDown="false">
      <left style="medium">
        <color rgb="FF888780"/>
      </left>
      <right/>
      <top style="medium">
        <color rgb="FF888780"/>
      </top>
      <bottom style="medium">
        <color rgb="FF8887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6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4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4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4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4" borderId="4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4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4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4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4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4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4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4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4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4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4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4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4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4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4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1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7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7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2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5" fillId="6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12B13"/>
      <rgbColor rgb="FF3B6D11"/>
      <rgbColor rgb="FF000080"/>
      <rgbColor rgb="FF854F0B"/>
      <rgbColor rgb="FF800080"/>
      <rgbColor rgb="FF0F6E56"/>
      <rgbColor rgb="FFBFBFBF"/>
      <rgbColor rgb="FF888780"/>
      <rgbColor rgb="FF9999FF"/>
      <rgbColor rgb="FFA32D2D"/>
      <rgbColor rgb="FFFAEEDA"/>
      <rgbColor rgb="FFE1F5EE"/>
      <rgbColor rgb="FF660066"/>
      <rgbColor rgb="FFFF8080"/>
      <rgbColor rgb="FF185FA5"/>
      <rgbColor rgb="FFDDDDDD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6F1FB"/>
      <rgbColor rgb="FFF1EFE8"/>
      <rgbColor rgb="FFFAECE7"/>
      <rgbColor rgb="FF99CCFF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534AB7"/>
      <rgbColor rgb="FFAAAAAA"/>
      <rgbColor rgb="FF003366"/>
      <rgbColor rgb="FF339966"/>
      <rgbColor rgb="FF003300"/>
      <rgbColor rgb="FF444441"/>
      <rgbColor rgb="FF993C1D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P8" activeCellId="0" sqref="P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2" width="22"/>
    <col collapsed="false" customWidth="true" hidden="false" outlineLevel="0" max="3" min="3" style="2" width="12"/>
    <col collapsed="false" customWidth="true" hidden="false" outlineLevel="0" max="4" min="4" style="2" width="10"/>
    <col collapsed="false" customWidth="true" hidden="false" outlineLevel="0" max="7" min="5" style="3" width="22.71"/>
    <col collapsed="false" customWidth="true" hidden="false" outlineLevel="0" max="8" min="8" style="4" width="22.42"/>
    <col collapsed="false" customWidth="true" hidden="false" outlineLevel="0" max="9" min="9" style="2" width="38"/>
    <col collapsed="false" customWidth="true" hidden="false" outlineLevel="0" max="10" min="10" style="2" width="19.42"/>
    <col collapsed="false" customWidth="true" hidden="false" outlineLevel="0" max="11" min="11" style="2" width="18"/>
    <col collapsed="false" customWidth="true" hidden="false" outlineLevel="0" max="12" min="12" style="2" width="16.84"/>
    <col collapsed="false" customWidth="true" hidden="false" outlineLevel="0" max="13" min="13" style="2" width="20"/>
  </cols>
  <sheetData>
    <row r="1" customFormat="false" ht="31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18" hidden="false" customHeight="tru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27.75" hidden="false" customHeight="true" outlineLevel="0" collapsed="false">
      <c r="A3" s="7" t="s">
        <v>2</v>
      </c>
      <c r="B3" s="8" t="s">
        <v>3</v>
      </c>
      <c r="C3" s="8" t="s">
        <v>4</v>
      </c>
      <c r="D3" s="8" t="s">
        <v>5</v>
      </c>
      <c r="E3" s="9" t="s">
        <v>6</v>
      </c>
      <c r="F3" s="9" t="s">
        <v>7</v>
      </c>
      <c r="G3" s="9" t="s">
        <v>8</v>
      </c>
      <c r="H3" s="10" t="s">
        <v>9</v>
      </c>
      <c r="I3" s="8" t="s">
        <v>10</v>
      </c>
      <c r="J3" s="8" t="s">
        <v>11</v>
      </c>
      <c r="K3" s="8" t="s">
        <v>12</v>
      </c>
      <c r="L3" s="11" t="s">
        <v>13</v>
      </c>
      <c r="M3" s="11" t="s">
        <v>14</v>
      </c>
    </row>
    <row r="4" customFormat="false" ht="67.5" hidden="false" customHeight="true" outlineLevel="0" collapsed="false">
      <c r="A4" s="12" t="s">
        <v>15</v>
      </c>
      <c r="B4" s="13" t="s">
        <v>16</v>
      </c>
      <c r="C4" s="14" t="s">
        <v>17</v>
      </c>
      <c r="D4" s="14" t="s">
        <v>18</v>
      </c>
      <c r="E4" s="15" t="n">
        <v>22</v>
      </c>
      <c r="F4" s="15" t="n">
        <v>0</v>
      </c>
      <c r="G4" s="15" t="n">
        <v>-2</v>
      </c>
      <c r="H4" s="16" t="n">
        <v>0</v>
      </c>
      <c r="I4" s="17" t="s">
        <v>19</v>
      </c>
      <c r="J4" s="18" t="s">
        <v>20</v>
      </c>
      <c r="K4" s="19" t="s">
        <v>21</v>
      </c>
      <c r="L4" s="19" t="s">
        <v>22</v>
      </c>
      <c r="M4" s="20" t="n">
        <v>0</v>
      </c>
    </row>
    <row r="5" customFormat="false" ht="67.5" hidden="false" customHeight="true" outlineLevel="0" collapsed="false">
      <c r="A5" s="12" t="s">
        <v>23</v>
      </c>
      <c r="B5" s="13" t="s">
        <v>24</v>
      </c>
      <c r="C5" s="14" t="s">
        <v>17</v>
      </c>
      <c r="D5" s="14" t="s">
        <v>25</v>
      </c>
      <c r="E5" s="15" t="n">
        <v>8</v>
      </c>
      <c r="F5" s="15" t="n">
        <v>60</v>
      </c>
      <c r="G5" s="15" t="n">
        <v>0</v>
      </c>
      <c r="H5" s="16" t="n">
        <v>3</v>
      </c>
      <c r="I5" s="17" t="s">
        <v>26</v>
      </c>
      <c r="J5" s="18" t="s">
        <v>27</v>
      </c>
      <c r="K5" s="19" t="s">
        <v>28</v>
      </c>
      <c r="L5" s="19" t="s">
        <v>29</v>
      </c>
      <c r="M5" s="20" t="n">
        <v>12</v>
      </c>
    </row>
    <row r="6" customFormat="false" ht="67.5" hidden="false" customHeight="true" outlineLevel="0" collapsed="false">
      <c r="A6" s="12" t="s">
        <v>30</v>
      </c>
      <c r="B6" s="13" t="s">
        <v>31</v>
      </c>
      <c r="C6" s="14" t="s">
        <v>17</v>
      </c>
      <c r="D6" s="14" t="s">
        <v>18</v>
      </c>
      <c r="E6" s="15" t="n">
        <v>14</v>
      </c>
      <c r="F6" s="15" t="n">
        <v>0</v>
      </c>
      <c r="G6" s="15" t="n">
        <v>-1</v>
      </c>
      <c r="H6" s="16" t="n">
        <v>0</v>
      </c>
      <c r="I6" s="17" t="s">
        <v>32</v>
      </c>
      <c r="J6" s="18" t="s">
        <v>33</v>
      </c>
      <c r="K6" s="19" t="s">
        <v>34</v>
      </c>
      <c r="L6" s="19" t="s">
        <v>35</v>
      </c>
      <c r="M6" s="20" t="n">
        <v>15</v>
      </c>
    </row>
    <row r="7" customFormat="false" ht="67.5" hidden="false" customHeight="true" outlineLevel="0" collapsed="false">
      <c r="A7" s="12" t="s">
        <v>36</v>
      </c>
      <c r="B7" s="13" t="s">
        <v>37</v>
      </c>
      <c r="C7" s="14" t="s">
        <v>17</v>
      </c>
      <c r="D7" s="14" t="s">
        <v>18</v>
      </c>
      <c r="E7" s="15" t="n">
        <v>18</v>
      </c>
      <c r="F7" s="15" t="n">
        <v>0</v>
      </c>
      <c r="G7" s="15" t="n">
        <v>-1.5</v>
      </c>
      <c r="H7" s="16" t="n">
        <v>0</v>
      </c>
      <c r="I7" s="17" t="s">
        <v>38</v>
      </c>
      <c r="J7" s="18" t="s">
        <v>39</v>
      </c>
      <c r="K7" s="19" t="s">
        <v>40</v>
      </c>
      <c r="L7" s="19" t="s">
        <v>41</v>
      </c>
      <c r="M7" s="20" t="n">
        <v>0</v>
      </c>
    </row>
    <row r="8" customFormat="false" ht="67.5" hidden="false" customHeight="true" outlineLevel="0" collapsed="false">
      <c r="A8" s="12" t="s">
        <v>42</v>
      </c>
      <c r="B8" s="13" t="s">
        <v>43</v>
      </c>
      <c r="C8" s="14" t="s">
        <v>17</v>
      </c>
      <c r="D8" s="14" t="s">
        <v>25</v>
      </c>
      <c r="E8" s="15" t="n">
        <v>6</v>
      </c>
      <c r="F8" s="15" t="n">
        <v>90</v>
      </c>
      <c r="G8" s="15" t="n">
        <v>0</v>
      </c>
      <c r="H8" s="16" t="n">
        <v>4</v>
      </c>
      <c r="I8" s="17" t="s">
        <v>44</v>
      </c>
      <c r="J8" s="18" t="s">
        <v>45</v>
      </c>
      <c r="K8" s="19" t="s">
        <v>46</v>
      </c>
      <c r="L8" s="19" t="s">
        <v>47</v>
      </c>
      <c r="M8" s="20" t="n">
        <v>2</v>
      </c>
    </row>
    <row r="9" customFormat="false" ht="67.5" hidden="false" customHeight="true" outlineLevel="0" collapsed="false">
      <c r="A9" s="12" t="s">
        <v>48</v>
      </c>
      <c r="B9" s="13" t="s">
        <v>49</v>
      </c>
      <c r="C9" s="14" t="s">
        <v>17</v>
      </c>
      <c r="D9" s="14" t="s">
        <v>18</v>
      </c>
      <c r="E9" s="15" t="n">
        <v>12</v>
      </c>
      <c r="F9" s="15" t="n">
        <v>0</v>
      </c>
      <c r="G9" s="15" t="n">
        <v>-2</v>
      </c>
      <c r="H9" s="16" t="n">
        <v>0</v>
      </c>
      <c r="I9" s="17" t="s">
        <v>50</v>
      </c>
      <c r="J9" s="18" t="s">
        <v>51</v>
      </c>
      <c r="K9" s="19" t="s">
        <v>52</v>
      </c>
      <c r="L9" s="19" t="s">
        <v>53</v>
      </c>
      <c r="M9" s="20" t="n">
        <v>8</v>
      </c>
    </row>
    <row r="10" customFormat="false" ht="55.5" hidden="false" customHeight="true" outlineLevel="0" collapsed="false">
      <c r="A10" s="12" t="s">
        <v>54</v>
      </c>
      <c r="B10" s="21" t="s">
        <v>55</v>
      </c>
      <c r="C10" s="22" t="s">
        <v>56</v>
      </c>
      <c r="D10" s="22" t="s">
        <v>18</v>
      </c>
      <c r="E10" s="23" t="n">
        <v>-18</v>
      </c>
      <c r="F10" s="23" t="n">
        <v>0</v>
      </c>
      <c r="G10" s="23" t="n">
        <v>-1.5</v>
      </c>
      <c r="H10" s="24" t="n">
        <v>0</v>
      </c>
      <c r="I10" s="25" t="s">
        <v>57</v>
      </c>
      <c r="J10" s="26" t="s">
        <v>58</v>
      </c>
      <c r="K10" s="27" t="s">
        <v>59</v>
      </c>
      <c r="L10" s="19" t="s">
        <v>60</v>
      </c>
      <c r="M10" s="20" t="n">
        <v>20</v>
      </c>
    </row>
    <row r="11" customFormat="false" ht="67.5" hidden="false" customHeight="true" outlineLevel="0" collapsed="false">
      <c r="A11" s="12" t="s">
        <v>61</v>
      </c>
      <c r="B11" s="13" t="s">
        <v>62</v>
      </c>
      <c r="C11" s="14" t="s">
        <v>56</v>
      </c>
      <c r="D11" s="14" t="s">
        <v>18</v>
      </c>
      <c r="E11" s="15" t="n">
        <v>-10</v>
      </c>
      <c r="F11" s="15" t="n">
        <v>0</v>
      </c>
      <c r="G11" s="15" t="n">
        <v>-0.5</v>
      </c>
      <c r="H11" s="16" t="n">
        <v>0</v>
      </c>
      <c r="I11" s="17" t="s">
        <v>63</v>
      </c>
      <c r="J11" s="18" t="s">
        <v>64</v>
      </c>
      <c r="K11" s="19" t="s">
        <v>65</v>
      </c>
      <c r="L11" s="19" t="s">
        <v>66</v>
      </c>
      <c r="M11" s="20" t="n">
        <v>20</v>
      </c>
    </row>
    <row r="12" customFormat="false" ht="67.5" hidden="false" customHeight="true" outlineLevel="0" collapsed="false">
      <c r="A12" s="12" t="s">
        <v>67</v>
      </c>
      <c r="B12" s="13" t="s">
        <v>68</v>
      </c>
      <c r="C12" s="14" t="s">
        <v>56</v>
      </c>
      <c r="D12" s="14" t="s">
        <v>18</v>
      </c>
      <c r="E12" s="15" t="n">
        <v>-14</v>
      </c>
      <c r="F12" s="15" t="n">
        <v>30</v>
      </c>
      <c r="G12" s="15" t="n">
        <v>-1</v>
      </c>
      <c r="H12" s="16" t="n">
        <v>0</v>
      </c>
      <c r="I12" s="17" t="s">
        <v>69</v>
      </c>
      <c r="J12" s="18" t="s">
        <v>70</v>
      </c>
      <c r="K12" s="19" t="s">
        <v>71</v>
      </c>
      <c r="L12" s="19" t="s">
        <v>72</v>
      </c>
      <c r="M12" s="20" t="n">
        <v>19</v>
      </c>
    </row>
    <row r="13" customFormat="false" ht="67.5" hidden="false" customHeight="true" outlineLevel="0" collapsed="false">
      <c r="A13" s="12" t="s">
        <v>73</v>
      </c>
      <c r="B13" s="13" t="s">
        <v>74</v>
      </c>
      <c r="C13" s="14" t="s">
        <v>56</v>
      </c>
      <c r="D13" s="14" t="s">
        <v>25</v>
      </c>
      <c r="E13" s="15" t="n">
        <v>-5</v>
      </c>
      <c r="F13" s="15" t="n">
        <v>60</v>
      </c>
      <c r="G13" s="15" t="n">
        <v>0</v>
      </c>
      <c r="H13" s="16" t="n">
        <v>-3</v>
      </c>
      <c r="I13" s="17" t="s">
        <v>75</v>
      </c>
      <c r="J13" s="18" t="s">
        <v>76</v>
      </c>
      <c r="K13" s="19" t="s">
        <v>77</v>
      </c>
      <c r="L13" s="19" t="s">
        <v>78</v>
      </c>
      <c r="M13" s="20" t="n">
        <v>20</v>
      </c>
    </row>
    <row r="14" customFormat="false" ht="67.5" hidden="false" customHeight="true" outlineLevel="0" collapsed="false">
      <c r="A14" s="12" t="s">
        <v>79</v>
      </c>
      <c r="B14" s="13" t="s">
        <v>80</v>
      </c>
      <c r="C14" s="14" t="s">
        <v>56</v>
      </c>
      <c r="D14" s="14" t="s">
        <v>25</v>
      </c>
      <c r="E14" s="15" t="n">
        <v>-8</v>
      </c>
      <c r="F14" s="15" t="n">
        <v>90</v>
      </c>
      <c r="G14" s="15" t="n">
        <v>0</v>
      </c>
      <c r="H14" s="16" t="n">
        <v>-2</v>
      </c>
      <c r="I14" s="17" t="s">
        <v>81</v>
      </c>
      <c r="J14" s="18" t="s">
        <v>82</v>
      </c>
      <c r="K14" s="19" t="s">
        <v>83</v>
      </c>
      <c r="L14" s="19" t="s">
        <v>84</v>
      </c>
      <c r="M14" s="20" t="n">
        <v>20</v>
      </c>
    </row>
    <row r="15" customFormat="false" ht="67.5" hidden="false" customHeight="true" outlineLevel="0" collapsed="false">
      <c r="A15" s="12" t="s">
        <v>85</v>
      </c>
      <c r="B15" s="13" t="s">
        <v>86</v>
      </c>
      <c r="C15" s="14" t="s">
        <v>56</v>
      </c>
      <c r="D15" s="14" t="s">
        <v>25</v>
      </c>
      <c r="E15" s="15" t="n">
        <v>-6</v>
      </c>
      <c r="F15" s="15" t="n">
        <v>120</v>
      </c>
      <c r="G15" s="15" t="n">
        <v>0</v>
      </c>
      <c r="H15" s="16" t="n">
        <v>-4</v>
      </c>
      <c r="I15" s="17" t="s">
        <v>87</v>
      </c>
      <c r="J15" s="18" t="s">
        <v>88</v>
      </c>
      <c r="K15" s="19" t="s">
        <v>89</v>
      </c>
      <c r="L15" s="19" t="s">
        <v>90</v>
      </c>
      <c r="M15" s="20" t="n">
        <v>20</v>
      </c>
    </row>
    <row r="16" customFormat="false" ht="15" hidden="false" customHeight="true" outlineLevel="0" collapsed="false">
      <c r="A16" s="28"/>
      <c r="B16" s="29"/>
      <c r="C16" s="29"/>
      <c r="D16" s="29"/>
      <c r="E16" s="30"/>
      <c r="F16" s="30"/>
      <c r="G16" s="30"/>
      <c r="H16" s="31"/>
      <c r="I16" s="29"/>
      <c r="J16" s="29"/>
      <c r="K16" s="29"/>
      <c r="L16" s="29"/>
      <c r="M16" s="29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M6" activeCellId="0" sqref="M6"/>
    </sheetView>
  </sheetViews>
  <sheetFormatPr defaultColWidth="8.71484375" defaultRowHeight="15" zeroHeight="false" outlineLevelRow="0" outlineLevelCol="0"/>
  <cols>
    <col collapsed="false" customWidth="true" hidden="false" outlineLevel="0" max="2" min="1" style="2" width="14"/>
    <col collapsed="false" customWidth="true" hidden="false" outlineLevel="0" max="3" min="3" style="2" width="12"/>
    <col collapsed="false" customWidth="true" hidden="false" outlineLevel="0" max="4" min="4" style="2" width="16"/>
    <col collapsed="false" customWidth="true" hidden="false" outlineLevel="0" max="5" min="5" style="2" width="48"/>
    <col collapsed="false" customWidth="true" hidden="false" outlineLevel="0" max="6" min="6" style="2" width="22"/>
  </cols>
  <sheetData>
    <row r="1" customFormat="false" ht="31.5" hidden="false" customHeight="true" outlineLevel="0" collapsed="false">
      <c r="A1" s="32" t="s">
        <v>91</v>
      </c>
      <c r="B1" s="32"/>
      <c r="C1" s="32"/>
      <c r="D1" s="32"/>
      <c r="E1" s="32"/>
      <c r="F1" s="32"/>
    </row>
    <row r="2" customFormat="false" ht="18" hidden="false" customHeight="true" outlineLevel="0" collapsed="false">
      <c r="A2" s="6" t="s">
        <v>92</v>
      </c>
      <c r="B2" s="6"/>
      <c r="C2" s="6"/>
      <c r="D2" s="6"/>
      <c r="E2" s="6"/>
      <c r="F2" s="6"/>
    </row>
    <row r="3" customFormat="false" ht="24" hidden="false" customHeight="true" outlineLevel="0" collapsed="false">
      <c r="A3" s="33" t="s">
        <v>93</v>
      </c>
      <c r="B3" s="33" t="s">
        <v>94</v>
      </c>
      <c r="C3" s="33" t="s">
        <v>95</v>
      </c>
      <c r="D3" s="33" t="s">
        <v>96</v>
      </c>
      <c r="E3" s="33" t="s">
        <v>97</v>
      </c>
      <c r="F3" s="33" t="s">
        <v>98</v>
      </c>
    </row>
    <row r="4" customFormat="false" ht="55.5" hidden="false" customHeight="true" outlineLevel="0" collapsed="false">
      <c r="A4" s="34" t="s">
        <v>15</v>
      </c>
      <c r="B4" s="35" t="s">
        <v>54</v>
      </c>
      <c r="C4" s="36" t="n">
        <v>4</v>
      </c>
      <c r="D4" s="37" t="s">
        <v>17</v>
      </c>
      <c r="E4" s="38" t="s">
        <v>99</v>
      </c>
      <c r="F4" s="39" t="s">
        <v>100</v>
      </c>
    </row>
    <row r="5" customFormat="false" ht="55.5" hidden="false" customHeight="true" outlineLevel="0" collapsed="false">
      <c r="A5" s="40" t="s">
        <v>42</v>
      </c>
      <c r="B5" s="41" t="s">
        <v>79</v>
      </c>
      <c r="C5" s="42" t="n">
        <v>0</v>
      </c>
      <c r="D5" s="14" t="s">
        <v>101</v>
      </c>
      <c r="E5" s="17" t="s">
        <v>102</v>
      </c>
      <c r="F5" s="43" t="s">
        <v>103</v>
      </c>
    </row>
    <row r="6" customFormat="false" ht="55.5" hidden="false" customHeight="true" outlineLevel="0" collapsed="false">
      <c r="A6" s="40" t="s">
        <v>23</v>
      </c>
      <c r="B6" s="41" t="s">
        <v>73</v>
      </c>
      <c r="C6" s="42" t="n">
        <v>0</v>
      </c>
      <c r="D6" s="14" t="s">
        <v>56</v>
      </c>
      <c r="E6" s="17" t="s">
        <v>104</v>
      </c>
      <c r="F6" s="43" t="s">
        <v>105</v>
      </c>
    </row>
    <row r="7" customFormat="false" ht="55.5" hidden="false" customHeight="true" outlineLevel="0" collapsed="false">
      <c r="A7" s="40" t="s">
        <v>36</v>
      </c>
      <c r="B7" s="41" t="s">
        <v>67</v>
      </c>
      <c r="C7" s="42" t="n">
        <v>4</v>
      </c>
      <c r="D7" s="14" t="s">
        <v>17</v>
      </c>
      <c r="E7" s="17" t="s">
        <v>106</v>
      </c>
      <c r="F7" s="43" t="s">
        <v>107</v>
      </c>
    </row>
    <row r="8" customFormat="false" ht="55.5" hidden="false" customHeight="true" outlineLevel="0" collapsed="false">
      <c r="A8" s="40" t="s">
        <v>108</v>
      </c>
      <c r="B8" s="41" t="s">
        <v>109</v>
      </c>
      <c r="C8" s="42" t="n">
        <v>12</v>
      </c>
      <c r="D8" s="14" t="s">
        <v>17</v>
      </c>
      <c r="E8" s="17" t="s">
        <v>110</v>
      </c>
      <c r="F8" s="43" t="s">
        <v>111</v>
      </c>
    </row>
    <row r="9" customFormat="false" ht="55.5" hidden="false" customHeight="true" outlineLevel="0" collapsed="false">
      <c r="A9" s="40" t="s">
        <v>112</v>
      </c>
      <c r="B9" s="41" t="s">
        <v>113</v>
      </c>
      <c r="C9" s="42" t="n">
        <v>0</v>
      </c>
      <c r="D9" s="14" t="s">
        <v>56</v>
      </c>
      <c r="E9" s="17" t="s">
        <v>114</v>
      </c>
      <c r="F9" s="43" t="s">
        <v>115</v>
      </c>
    </row>
    <row r="10" customFormat="false" ht="55.5" hidden="false" customHeight="true" outlineLevel="0" collapsed="false">
      <c r="A10" s="40" t="s">
        <v>30</v>
      </c>
      <c r="B10" s="41" t="s">
        <v>61</v>
      </c>
      <c r="C10" s="42" t="n">
        <v>0</v>
      </c>
      <c r="D10" s="14" t="s">
        <v>101</v>
      </c>
      <c r="E10" s="17" t="s">
        <v>116</v>
      </c>
      <c r="F10" s="43" t="s">
        <v>117</v>
      </c>
    </row>
    <row r="11" customFormat="false" ht="55.5" hidden="false" customHeight="true" outlineLevel="0" collapsed="false">
      <c r="A11" s="44" t="s">
        <v>48</v>
      </c>
      <c r="B11" s="45" t="s">
        <v>67</v>
      </c>
      <c r="C11" s="46" t="n">
        <v>2</v>
      </c>
      <c r="D11" s="47" t="s">
        <v>17</v>
      </c>
      <c r="E11" s="48" t="s">
        <v>118</v>
      </c>
      <c r="F11" s="49" t="s">
        <v>119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22"/>
    <col collapsed="false" customWidth="true" hidden="false" outlineLevel="0" max="2" min="2" style="2" width="20"/>
    <col collapsed="false" customWidth="true" hidden="false" outlineLevel="0" max="3" min="3" style="2" width="32"/>
    <col collapsed="false" customWidth="true" hidden="false" outlineLevel="0" max="4" min="4" style="2" width="29.71"/>
    <col collapsed="false" customWidth="true" hidden="false" outlineLevel="0" max="5" min="5" style="2" width="35.57"/>
    <col collapsed="false" customWidth="true" hidden="false" outlineLevel="0" max="6" min="6" style="2" width="40"/>
  </cols>
  <sheetData>
    <row r="1" customFormat="false" ht="31.5" hidden="false" customHeight="true" outlineLevel="0" collapsed="false">
      <c r="A1" s="32" t="s">
        <v>120</v>
      </c>
      <c r="B1" s="32"/>
      <c r="C1" s="32"/>
      <c r="D1" s="32"/>
      <c r="E1" s="32"/>
      <c r="F1" s="32"/>
    </row>
    <row r="2" customFormat="false" ht="18" hidden="false" customHeight="true" outlineLevel="0" collapsed="false">
      <c r="A2" s="50" t="s">
        <v>121</v>
      </c>
      <c r="B2" s="50"/>
      <c r="C2" s="50"/>
      <c r="D2" s="50"/>
      <c r="E2" s="50"/>
      <c r="F2" s="50"/>
    </row>
    <row r="3" customFormat="false" ht="24" hidden="false" customHeight="true" outlineLevel="0" collapsed="false">
      <c r="A3" s="33" t="s">
        <v>122</v>
      </c>
      <c r="B3" s="33" t="s">
        <v>123</v>
      </c>
      <c r="C3" s="51" t="s">
        <v>124</v>
      </c>
      <c r="D3" s="51" t="s">
        <v>125</v>
      </c>
      <c r="E3" s="51" t="s">
        <v>126</v>
      </c>
      <c r="F3" s="33" t="s">
        <v>127</v>
      </c>
    </row>
    <row r="4" customFormat="false" ht="48" hidden="false" customHeight="true" outlineLevel="0" collapsed="false">
      <c r="A4" s="52" t="s">
        <v>128</v>
      </c>
      <c r="B4" s="53" t="s">
        <v>129</v>
      </c>
      <c r="C4" s="37" t="n">
        <v>1</v>
      </c>
      <c r="D4" s="37" t="n">
        <v>0.05</v>
      </c>
      <c r="E4" s="37" t="n">
        <v>1</v>
      </c>
      <c r="F4" s="54" t="s">
        <v>130</v>
      </c>
    </row>
    <row r="5" customFormat="false" ht="48" hidden="false" customHeight="true" outlineLevel="0" collapsed="false">
      <c r="A5" s="55" t="s">
        <v>131</v>
      </c>
      <c r="B5" s="56" t="s">
        <v>132</v>
      </c>
      <c r="C5" s="14" t="n">
        <v>1</v>
      </c>
      <c r="D5" s="14" t="n">
        <v>0.2</v>
      </c>
      <c r="E5" s="14" t="n">
        <v>1</v>
      </c>
      <c r="F5" s="57" t="s">
        <v>133</v>
      </c>
    </row>
    <row r="6" customFormat="false" ht="48" hidden="false" customHeight="true" outlineLevel="0" collapsed="false">
      <c r="A6" s="55" t="s">
        <v>134</v>
      </c>
      <c r="B6" s="56" t="s">
        <v>135</v>
      </c>
      <c r="C6" s="14" t="n">
        <v>1</v>
      </c>
      <c r="D6" s="14" t="n">
        <v>0.7</v>
      </c>
      <c r="E6" s="14" t="n">
        <v>1</v>
      </c>
      <c r="F6" s="57" t="s">
        <v>136</v>
      </c>
    </row>
    <row r="7" customFormat="false" ht="48" hidden="false" customHeight="true" outlineLevel="0" collapsed="false">
      <c r="A7" s="55" t="s">
        <v>137</v>
      </c>
      <c r="B7" s="56" t="s">
        <v>138</v>
      </c>
      <c r="C7" s="14" t="s">
        <v>139</v>
      </c>
      <c r="D7" s="14" t="s">
        <v>140</v>
      </c>
      <c r="E7" s="14" t="s">
        <v>139</v>
      </c>
      <c r="F7" s="57" t="s">
        <v>141</v>
      </c>
    </row>
    <row r="8" customFormat="false" ht="48" hidden="false" customHeight="true" outlineLevel="0" collapsed="false">
      <c r="A8" s="55" t="s">
        <v>142</v>
      </c>
      <c r="B8" s="56" t="s">
        <v>143</v>
      </c>
      <c r="C8" s="14" t="s">
        <v>144</v>
      </c>
      <c r="D8" s="14" t="s">
        <v>144</v>
      </c>
      <c r="E8" s="14" t="s">
        <v>145</v>
      </c>
      <c r="F8" s="57" t="s">
        <v>146</v>
      </c>
    </row>
    <row r="9" customFormat="false" ht="48" hidden="false" customHeight="true" outlineLevel="0" collapsed="false">
      <c r="A9" s="55" t="s">
        <v>147</v>
      </c>
      <c r="B9" s="56" t="s">
        <v>148</v>
      </c>
      <c r="C9" s="14" t="s">
        <v>149</v>
      </c>
      <c r="D9" s="14" t="s">
        <v>150</v>
      </c>
      <c r="E9" s="14" t="s">
        <v>149</v>
      </c>
      <c r="F9" s="57" t="s">
        <v>151</v>
      </c>
    </row>
    <row r="10" customFormat="false" ht="48" hidden="false" customHeight="true" outlineLevel="0" collapsed="false">
      <c r="A10" s="55" t="s">
        <v>152</v>
      </c>
      <c r="B10" s="56" t="s">
        <v>153</v>
      </c>
      <c r="C10" s="14" t="s">
        <v>154</v>
      </c>
      <c r="D10" s="14" t="s">
        <v>155</v>
      </c>
      <c r="E10" s="14" t="s">
        <v>154</v>
      </c>
      <c r="F10" s="57" t="s">
        <v>156</v>
      </c>
    </row>
    <row r="11" customFormat="false" ht="48" hidden="false" customHeight="true" outlineLevel="0" collapsed="false">
      <c r="A11" s="55" t="s">
        <v>157</v>
      </c>
      <c r="B11" s="56" t="s">
        <v>158</v>
      </c>
      <c r="C11" s="14" t="s">
        <v>159</v>
      </c>
      <c r="D11" s="14" t="s">
        <v>160</v>
      </c>
      <c r="E11" s="14" t="s">
        <v>159</v>
      </c>
      <c r="F11" s="57" t="s">
        <v>161</v>
      </c>
    </row>
    <row r="12" customFormat="false" ht="48" hidden="false" customHeight="true" outlineLevel="0" collapsed="false">
      <c r="A12" s="55" t="s">
        <v>162</v>
      </c>
      <c r="B12" s="56" t="s">
        <v>163</v>
      </c>
      <c r="C12" s="14" t="s">
        <v>160</v>
      </c>
      <c r="D12" s="14" t="s">
        <v>159</v>
      </c>
      <c r="E12" s="14" t="s">
        <v>160</v>
      </c>
      <c r="F12" s="57" t="s">
        <v>164</v>
      </c>
    </row>
    <row r="13" customFormat="false" ht="48" hidden="false" customHeight="true" outlineLevel="0" collapsed="false">
      <c r="A13" s="55" t="s">
        <v>165</v>
      </c>
      <c r="B13" s="56" t="s">
        <v>166</v>
      </c>
      <c r="C13" s="14" t="s">
        <v>159</v>
      </c>
      <c r="D13" s="14" t="s">
        <v>159</v>
      </c>
      <c r="E13" s="14" t="s">
        <v>160</v>
      </c>
      <c r="F13" s="57" t="s">
        <v>167</v>
      </c>
    </row>
    <row r="14" customFormat="false" ht="48" hidden="false" customHeight="true" outlineLevel="0" collapsed="false">
      <c r="A14" s="55" t="s">
        <v>168</v>
      </c>
      <c r="B14" s="56" t="s">
        <v>169</v>
      </c>
      <c r="C14" s="14" t="s">
        <v>159</v>
      </c>
      <c r="D14" s="14" t="s">
        <v>159</v>
      </c>
      <c r="E14" s="14" t="s">
        <v>160</v>
      </c>
      <c r="F14" s="57" t="s">
        <v>170</v>
      </c>
    </row>
    <row r="15" customFormat="false" ht="48" hidden="false" customHeight="true" outlineLevel="0" collapsed="false">
      <c r="A15" s="55" t="s">
        <v>171</v>
      </c>
      <c r="B15" s="56" t="s">
        <v>172</v>
      </c>
      <c r="C15" s="14" t="s">
        <v>159</v>
      </c>
      <c r="D15" s="14" t="s">
        <v>160</v>
      </c>
      <c r="E15" s="14" t="s">
        <v>159</v>
      </c>
      <c r="F15" s="57" t="s">
        <v>173</v>
      </c>
    </row>
    <row r="16" customFormat="false" ht="48" hidden="false" customHeight="true" outlineLevel="0" collapsed="false">
      <c r="A16" s="55" t="s">
        <v>174</v>
      </c>
      <c r="B16" s="56" t="s">
        <v>175</v>
      </c>
      <c r="C16" s="14" t="s">
        <v>159</v>
      </c>
      <c r="D16" s="14" t="s">
        <v>159</v>
      </c>
      <c r="E16" s="14" t="s">
        <v>160</v>
      </c>
      <c r="F16" s="57" t="s">
        <v>176</v>
      </c>
    </row>
    <row r="17" customFormat="false" ht="48" hidden="false" customHeight="true" outlineLevel="0" collapsed="false">
      <c r="A17" s="55" t="s">
        <v>177</v>
      </c>
      <c r="B17" s="56" t="s">
        <v>178</v>
      </c>
      <c r="C17" s="14" t="n">
        <v>1</v>
      </c>
      <c r="D17" s="14" t="n">
        <v>1</v>
      </c>
      <c r="E17" s="14" t="n">
        <v>1.5</v>
      </c>
      <c r="F17" s="57" t="s">
        <v>179</v>
      </c>
    </row>
    <row r="18" customFormat="false" ht="48" hidden="false" customHeight="true" outlineLevel="0" collapsed="false">
      <c r="A18" s="58" t="s">
        <v>180</v>
      </c>
      <c r="B18" s="59" t="s">
        <v>181</v>
      </c>
      <c r="C18" s="47" t="s">
        <v>159</v>
      </c>
      <c r="D18" s="47" t="s">
        <v>159</v>
      </c>
      <c r="E18" s="47" t="s">
        <v>160</v>
      </c>
      <c r="F18" s="60" t="s">
        <v>182</v>
      </c>
    </row>
    <row r="20" customFormat="false" ht="21.75" hidden="false" customHeight="true" outlineLevel="0" collapsed="false">
      <c r="A20" s="61" t="s">
        <v>183</v>
      </c>
      <c r="B20" s="62"/>
      <c r="C20" s="62"/>
      <c r="D20" s="62"/>
      <c r="E20" s="62"/>
      <c r="F20" s="62"/>
    </row>
    <row r="21" customFormat="false" ht="51.75" hidden="false" customHeight="true" outlineLevel="0" collapsed="false">
      <c r="A21" s="63" t="s">
        <v>184</v>
      </c>
      <c r="B21" s="64" t="s">
        <v>185</v>
      </c>
      <c r="C21" s="65" t="s">
        <v>186</v>
      </c>
      <c r="D21" s="66" t="s">
        <v>187</v>
      </c>
      <c r="E21" s="67" t="s">
        <v>187</v>
      </c>
      <c r="F21" s="68" t="s">
        <v>188</v>
      </c>
    </row>
    <row r="22" customFormat="false" ht="51.75" hidden="false" customHeight="true" outlineLevel="0" collapsed="false">
      <c r="A22" s="63" t="s">
        <v>189</v>
      </c>
      <c r="B22" s="69" t="s">
        <v>190</v>
      </c>
      <c r="C22" s="70" t="s">
        <v>191</v>
      </c>
      <c r="D22" s="71" t="s">
        <v>192</v>
      </c>
      <c r="E22" s="72" t="s">
        <v>193</v>
      </c>
      <c r="F22" s="73" t="s">
        <v>194</v>
      </c>
    </row>
    <row r="23" customFormat="false" ht="51.75" hidden="false" customHeight="true" outlineLevel="0" collapsed="false">
      <c r="A23" s="63" t="s">
        <v>195</v>
      </c>
      <c r="B23" s="64" t="s">
        <v>196</v>
      </c>
      <c r="C23" s="74" t="s">
        <v>197</v>
      </c>
      <c r="D23" s="71" t="s">
        <v>198</v>
      </c>
      <c r="E23" s="72" t="s">
        <v>199</v>
      </c>
      <c r="F23" s="68" t="s">
        <v>200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L13" activeCellId="0" sqref="L13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6"/>
    <col collapsed="false" customWidth="true" hidden="false" outlineLevel="0" max="2" min="2" style="2" width="26"/>
    <col collapsed="false" customWidth="true" hidden="false" outlineLevel="0" max="3" min="3" style="2" width="18"/>
    <col collapsed="false" customWidth="true" hidden="false" outlineLevel="0" max="5" min="5" style="2" width="10.85"/>
    <col collapsed="false" customWidth="true" hidden="false" outlineLevel="0" max="7" min="7" style="2" width="11.43"/>
    <col collapsed="false" customWidth="true" hidden="false" outlineLevel="0" max="8" min="8" style="2" width="22"/>
    <col collapsed="false" customWidth="true" hidden="false" outlineLevel="0" max="9" min="9" style="2" width="36"/>
  </cols>
  <sheetData>
    <row r="1" customFormat="false" ht="27.75" hidden="false" customHeight="true" outlineLevel="0" collapsed="false">
      <c r="A1" s="75" t="s">
        <v>201</v>
      </c>
      <c r="B1" s="75"/>
      <c r="C1" s="75"/>
      <c r="D1" s="75"/>
      <c r="E1" s="75"/>
      <c r="F1" s="75"/>
      <c r="G1" s="75"/>
      <c r="H1" s="75"/>
      <c r="I1" s="75"/>
    </row>
    <row r="2" customFormat="false" ht="51" hidden="false" customHeight="true" outlineLevel="0" collapsed="false">
      <c r="A2" s="76" t="s">
        <v>202</v>
      </c>
      <c r="B2" s="76"/>
      <c r="C2" s="76"/>
      <c r="D2" s="76"/>
      <c r="E2" s="76"/>
      <c r="F2" s="76"/>
      <c r="G2" s="76"/>
      <c r="H2" s="76"/>
      <c r="I2" s="76"/>
    </row>
    <row r="3" customFormat="false" ht="27.75" hidden="false" customHeight="true" outlineLevel="0" collapsed="false">
      <c r="A3" s="77" t="s">
        <v>203</v>
      </c>
      <c r="B3" s="77"/>
      <c r="C3" s="77"/>
      <c r="D3" s="77"/>
      <c r="E3" s="77"/>
      <c r="F3" s="77"/>
      <c r="G3" s="77"/>
      <c r="H3" s="77"/>
      <c r="I3" s="77"/>
    </row>
    <row r="4" customFormat="false" ht="27.75" hidden="false" customHeight="true" outlineLevel="0" collapsed="false">
      <c r="A4" s="78"/>
      <c r="I4" s="79"/>
    </row>
    <row r="5" customFormat="false" ht="36" hidden="false" customHeight="true" outlineLevel="0" collapsed="false">
      <c r="A5" s="80" t="s">
        <v>2</v>
      </c>
      <c r="B5" s="81" t="s">
        <v>204</v>
      </c>
      <c r="C5" s="81" t="s">
        <v>205</v>
      </c>
      <c r="D5" s="81" t="s">
        <v>206</v>
      </c>
      <c r="E5" s="81" t="s">
        <v>207</v>
      </c>
      <c r="F5" s="81" t="s">
        <v>208</v>
      </c>
      <c r="G5" s="81" t="s">
        <v>209</v>
      </c>
      <c r="H5" s="81" t="s">
        <v>210</v>
      </c>
      <c r="I5" s="82" t="s">
        <v>211</v>
      </c>
    </row>
    <row r="6" customFormat="false" ht="51.75" hidden="false" customHeight="true" outlineLevel="0" collapsed="false">
      <c r="A6" s="83" t="s">
        <v>212</v>
      </c>
      <c r="B6" s="84" t="s">
        <v>213</v>
      </c>
      <c r="C6" s="36" t="n">
        <v>20</v>
      </c>
      <c r="D6" s="85" t="n">
        <v>20</v>
      </c>
      <c r="E6" s="85" t="n">
        <v>20</v>
      </c>
      <c r="F6" s="85" t="n">
        <v>20</v>
      </c>
      <c r="G6" s="85" t="n">
        <v>20</v>
      </c>
      <c r="H6" s="36" t="n">
        <v>20</v>
      </c>
      <c r="I6" s="39" t="s">
        <v>214</v>
      </c>
    </row>
    <row r="7" customFormat="false" ht="51.75" hidden="false" customHeight="true" outlineLevel="0" collapsed="false">
      <c r="A7" s="83" t="s">
        <v>215</v>
      </c>
      <c r="B7" s="86" t="s">
        <v>216</v>
      </c>
      <c r="C7" s="42" t="n">
        <v>1</v>
      </c>
      <c r="D7" s="42" t="n">
        <v>0.05</v>
      </c>
      <c r="E7" s="42" t="n">
        <v>0.6</v>
      </c>
      <c r="F7" s="87" t="n">
        <v>1</v>
      </c>
      <c r="G7" s="42" t="n">
        <v>0.3</v>
      </c>
      <c r="H7" s="42" t="n">
        <f aca="false">MIN(D7,E7,F7,G7)</f>
        <v>0.05</v>
      </c>
      <c r="I7" s="43" t="s">
        <v>217</v>
      </c>
    </row>
    <row r="8" customFormat="false" ht="51.75" hidden="false" customHeight="true" outlineLevel="0" collapsed="false">
      <c r="A8" s="83" t="s">
        <v>218</v>
      </c>
      <c r="B8" s="86" t="s">
        <v>219</v>
      </c>
      <c r="C8" s="42" t="n">
        <v>1</v>
      </c>
      <c r="D8" s="42" t="n">
        <v>0.2</v>
      </c>
      <c r="E8" s="87" t="n">
        <v>1</v>
      </c>
      <c r="F8" s="87" t="n">
        <v>1</v>
      </c>
      <c r="G8" s="87" t="n">
        <v>1</v>
      </c>
      <c r="H8" s="42" t="n">
        <v>0.2</v>
      </c>
      <c r="I8" s="43" t="s">
        <v>220</v>
      </c>
    </row>
    <row r="9" customFormat="false" ht="51.75" hidden="false" customHeight="true" outlineLevel="0" collapsed="false">
      <c r="A9" s="83" t="s">
        <v>221</v>
      </c>
      <c r="B9" s="86" t="s">
        <v>222</v>
      </c>
      <c r="C9" s="42" t="n">
        <v>1</v>
      </c>
      <c r="D9" s="42" t="n">
        <v>0</v>
      </c>
      <c r="E9" s="87" t="n">
        <v>1</v>
      </c>
      <c r="F9" s="87" t="n">
        <v>1</v>
      </c>
      <c r="G9" s="87" t="n">
        <v>1</v>
      </c>
      <c r="H9" s="42" t="n">
        <v>0</v>
      </c>
      <c r="I9" s="43" t="s">
        <v>223</v>
      </c>
    </row>
    <row r="10" customFormat="false" ht="51.75" hidden="false" customHeight="true" outlineLevel="0" collapsed="false">
      <c r="A10" s="83" t="s">
        <v>224</v>
      </c>
      <c r="B10" s="86" t="s">
        <v>225</v>
      </c>
      <c r="C10" s="42" t="n">
        <v>0</v>
      </c>
      <c r="D10" s="87" t="n">
        <v>0</v>
      </c>
      <c r="E10" s="87" t="n">
        <v>0</v>
      </c>
      <c r="F10" s="42" t="n">
        <v>0.25</v>
      </c>
      <c r="G10" s="87" t="n">
        <v>0</v>
      </c>
      <c r="H10" s="42" t="n">
        <v>0.25</v>
      </c>
      <c r="I10" s="43" t="s">
        <v>226</v>
      </c>
    </row>
    <row r="11" customFormat="false" ht="51.75" hidden="false" customHeight="true" outlineLevel="0" collapsed="false">
      <c r="A11" s="83" t="s">
        <v>227</v>
      </c>
      <c r="B11" s="86" t="s">
        <v>228</v>
      </c>
      <c r="C11" s="42" t="n">
        <v>1</v>
      </c>
      <c r="D11" s="87" t="n">
        <v>1</v>
      </c>
      <c r="E11" s="87" t="n">
        <v>1</v>
      </c>
      <c r="F11" s="87" t="n">
        <v>1</v>
      </c>
      <c r="G11" s="87" t="n">
        <v>1</v>
      </c>
      <c r="H11" s="42" t="n">
        <v>1</v>
      </c>
      <c r="I11" s="43" t="s">
        <v>229</v>
      </c>
    </row>
    <row r="12" customFormat="false" ht="51.75" hidden="false" customHeight="true" outlineLevel="0" collapsed="false">
      <c r="A12" s="83" t="s">
        <v>230</v>
      </c>
      <c r="B12" s="88" t="s">
        <v>231</v>
      </c>
      <c r="C12" s="46" t="n">
        <v>1</v>
      </c>
      <c r="D12" s="89" t="n">
        <v>1</v>
      </c>
      <c r="E12" s="89" t="n">
        <v>1</v>
      </c>
      <c r="F12" s="89" t="n">
        <v>1</v>
      </c>
      <c r="G12" s="46" t="n">
        <v>0.3</v>
      </c>
      <c r="H12" s="46" t="n">
        <v>0.3</v>
      </c>
      <c r="I12" s="49" t="s">
        <v>232</v>
      </c>
    </row>
    <row r="13" customFormat="false" ht="43.5" hidden="false" customHeight="true" outlineLevel="0" collapsed="false">
      <c r="A13" s="90" t="s">
        <v>233</v>
      </c>
      <c r="B13" s="90"/>
      <c r="C13" s="90"/>
      <c r="D13" s="90"/>
      <c r="E13" s="90"/>
      <c r="F13" s="90"/>
      <c r="G13" s="90"/>
      <c r="H13" s="91" t="n">
        <f aca="false">ROUND(C6*H7*H8*H9*(1-H10)*H11*H12,0)</f>
        <v>0</v>
      </c>
      <c r="I13" s="92" t="s">
        <v>234</v>
      </c>
    </row>
  </sheetData>
  <mergeCells count="4">
    <mergeCell ref="A1:I1"/>
    <mergeCell ref="A2:I2"/>
    <mergeCell ref="A3:I3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27" activeCellId="0" sqref="N27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8"/>
    <col collapsed="false" customWidth="true" hidden="false" outlineLevel="0" max="2" min="2" style="2" width="12"/>
    <col collapsed="false" customWidth="true" hidden="false" outlineLevel="0" max="3" min="3" style="2" width="14"/>
    <col collapsed="false" customWidth="true" hidden="false" outlineLevel="0" max="4" min="4" style="2" width="17.29"/>
    <col collapsed="false" customWidth="true" hidden="false" outlineLevel="0" max="6" min="6" style="2" width="15.85"/>
    <col collapsed="false" customWidth="true" hidden="false" outlineLevel="0" max="7" min="7" style="2" width="17.42"/>
    <col collapsed="false" customWidth="true" hidden="false" outlineLevel="0" max="8" min="8" style="2" width="17.57"/>
    <col collapsed="false" customWidth="true" hidden="false" outlineLevel="0" max="9" min="9" style="2" width="15.42"/>
    <col collapsed="false" customWidth="true" hidden="false" outlineLevel="0" max="10" min="10" style="2" width="16"/>
  </cols>
  <sheetData>
    <row r="1" customFormat="false" ht="31.5" hidden="false" customHeight="true" outlineLevel="0" collapsed="false">
      <c r="A1" s="93" t="s">
        <v>235</v>
      </c>
      <c r="B1" s="93"/>
      <c r="C1" s="93"/>
      <c r="D1" s="93"/>
      <c r="E1" s="93"/>
      <c r="F1" s="93"/>
      <c r="G1" s="93"/>
      <c r="H1" s="93"/>
      <c r="I1" s="93"/>
      <c r="J1" s="93"/>
    </row>
    <row r="2" customFormat="false" ht="39.75" hidden="false" customHeight="true" outlineLevel="0" collapsed="false">
      <c r="A2" s="94" t="s">
        <v>236</v>
      </c>
      <c r="B2" s="94"/>
      <c r="C2" s="94"/>
      <c r="D2" s="94"/>
      <c r="E2" s="94"/>
      <c r="F2" s="94"/>
      <c r="G2" s="94"/>
      <c r="H2" s="94"/>
      <c r="I2" s="94"/>
      <c r="J2" s="94"/>
    </row>
    <row r="3" customFormat="false" ht="13.5" hidden="false" customHeight="true" outlineLevel="0" collapsed="false"/>
    <row r="4" customFormat="false" ht="36" hidden="false" customHeight="true" outlineLevel="0" collapsed="false">
      <c r="A4" s="95" t="s">
        <v>237</v>
      </c>
      <c r="B4" s="96" t="s">
        <v>238</v>
      </c>
      <c r="C4" s="96" t="s">
        <v>239</v>
      </c>
      <c r="D4" s="96" t="s">
        <v>240</v>
      </c>
      <c r="E4" s="96" t="s">
        <v>241</v>
      </c>
      <c r="F4" s="96" t="s">
        <v>242</v>
      </c>
      <c r="G4" s="96" t="s">
        <v>243</v>
      </c>
      <c r="H4" s="96" t="s">
        <v>244</v>
      </c>
      <c r="I4" s="96" t="s">
        <v>128</v>
      </c>
      <c r="J4" s="97" t="s">
        <v>245</v>
      </c>
    </row>
    <row r="5" customFormat="false" ht="21.75" hidden="false" customHeight="true" outlineLevel="0" collapsed="false">
      <c r="A5" s="98" t="n">
        <v>0</v>
      </c>
      <c r="B5" s="99" t="n">
        <v>0</v>
      </c>
      <c r="C5" s="100" t="n">
        <v>0</v>
      </c>
      <c r="D5" s="100" t="n">
        <v>0</v>
      </c>
      <c r="E5" s="100" t="n">
        <v>0</v>
      </c>
      <c r="F5" s="100" t="n">
        <v>0</v>
      </c>
      <c r="G5" s="100" t="n">
        <v>0</v>
      </c>
      <c r="H5" s="100" t="n">
        <v>0</v>
      </c>
      <c r="I5" s="101" t="n">
        <v>1</v>
      </c>
      <c r="J5" s="102" t="n">
        <v>20</v>
      </c>
    </row>
    <row r="6" customFormat="false" ht="21.75" hidden="false" customHeight="true" outlineLevel="0" collapsed="false">
      <c r="A6" s="103" t="n">
        <v>1</v>
      </c>
      <c r="B6" s="104" t="n">
        <v>30</v>
      </c>
      <c r="C6" s="105" t="n">
        <v>1</v>
      </c>
      <c r="D6" s="106" t="n">
        <v>0</v>
      </c>
      <c r="E6" s="106" t="n">
        <v>0</v>
      </c>
      <c r="F6" s="106" t="n">
        <v>0</v>
      </c>
      <c r="G6" s="106" t="n">
        <v>0</v>
      </c>
      <c r="H6" s="106" t="n">
        <v>0</v>
      </c>
      <c r="I6" s="105" t="n">
        <v>0.05</v>
      </c>
      <c r="J6" s="107" t="n">
        <v>0</v>
      </c>
    </row>
    <row r="7" customFormat="false" ht="21.75" hidden="false" customHeight="true" outlineLevel="0" collapsed="false">
      <c r="A7" s="103" t="n">
        <v>2</v>
      </c>
      <c r="B7" s="104" t="n">
        <v>60</v>
      </c>
      <c r="C7" s="105" t="n">
        <v>1</v>
      </c>
      <c r="D7" s="105" t="n">
        <v>1</v>
      </c>
      <c r="E7" s="106" t="n">
        <v>0</v>
      </c>
      <c r="F7" s="106" t="n">
        <v>0</v>
      </c>
      <c r="G7" s="106" t="n">
        <v>0</v>
      </c>
      <c r="H7" s="106" t="n">
        <v>0</v>
      </c>
      <c r="I7" s="105" t="n">
        <v>0.05</v>
      </c>
      <c r="J7" s="107" t="n">
        <v>0</v>
      </c>
    </row>
    <row r="8" customFormat="false" ht="21.75" hidden="false" customHeight="true" outlineLevel="0" collapsed="false">
      <c r="A8" s="103" t="n">
        <v>3</v>
      </c>
      <c r="B8" s="104" t="n">
        <v>90</v>
      </c>
      <c r="C8" s="105" t="n">
        <v>1</v>
      </c>
      <c r="D8" s="105" t="n">
        <v>1</v>
      </c>
      <c r="E8" s="106" t="n">
        <v>0</v>
      </c>
      <c r="F8" s="106" t="n">
        <v>0</v>
      </c>
      <c r="G8" s="105" t="n">
        <v>1</v>
      </c>
      <c r="H8" s="106" t="n">
        <v>0</v>
      </c>
      <c r="I8" s="105" t="n">
        <v>0.6</v>
      </c>
      <c r="J8" s="107" t="n">
        <v>8</v>
      </c>
    </row>
    <row r="9" customFormat="false" ht="21.75" hidden="false" customHeight="true" outlineLevel="0" collapsed="false">
      <c r="A9" s="103" t="n">
        <v>4</v>
      </c>
      <c r="B9" s="104" t="n">
        <v>120</v>
      </c>
      <c r="C9" s="105" t="n">
        <v>1</v>
      </c>
      <c r="D9" s="105" t="n">
        <v>1</v>
      </c>
      <c r="E9" s="106" t="n">
        <v>0</v>
      </c>
      <c r="F9" s="106" t="n">
        <v>0</v>
      </c>
      <c r="G9" s="105" t="n">
        <v>1</v>
      </c>
      <c r="H9" s="105" t="n">
        <v>1</v>
      </c>
      <c r="I9" s="105" t="n">
        <v>0.6</v>
      </c>
      <c r="J9" s="107" t="n">
        <v>9</v>
      </c>
    </row>
    <row r="10" customFormat="false" ht="21.75" hidden="false" customHeight="true" outlineLevel="0" collapsed="false">
      <c r="A10" s="103" t="n">
        <v>5</v>
      </c>
      <c r="B10" s="104" t="n">
        <v>150</v>
      </c>
      <c r="C10" s="105" t="n">
        <v>1</v>
      </c>
      <c r="D10" s="105" t="n">
        <v>1</v>
      </c>
      <c r="E10" s="106" t="n">
        <v>0</v>
      </c>
      <c r="F10" s="105" t="n">
        <v>1</v>
      </c>
      <c r="G10" s="105" t="n">
        <v>1</v>
      </c>
      <c r="H10" s="105" t="n">
        <v>1</v>
      </c>
      <c r="I10" s="105" t="n">
        <v>0.3</v>
      </c>
      <c r="J10" s="107" t="n">
        <v>5</v>
      </c>
    </row>
    <row r="11" customFormat="false" ht="21.75" hidden="false" customHeight="true" outlineLevel="0" collapsed="false">
      <c r="A11" s="103" t="n">
        <v>6</v>
      </c>
      <c r="B11" s="104" t="n">
        <v>180</v>
      </c>
      <c r="C11" s="105" t="n">
        <v>1</v>
      </c>
      <c r="D11" s="105" t="n">
        <v>1</v>
      </c>
      <c r="E11" s="105" t="n">
        <v>1</v>
      </c>
      <c r="F11" s="105" t="n">
        <v>1</v>
      </c>
      <c r="G11" s="105" t="n">
        <v>1</v>
      </c>
      <c r="H11" s="105" t="n">
        <v>1</v>
      </c>
      <c r="I11" s="105" t="n">
        <v>0.3</v>
      </c>
      <c r="J11" s="107" t="n">
        <v>3</v>
      </c>
    </row>
    <row r="12" customFormat="false" ht="21.75" hidden="false" customHeight="true" outlineLevel="0" collapsed="false">
      <c r="A12" s="103" t="n">
        <v>7</v>
      </c>
      <c r="B12" s="104" t="n">
        <v>210</v>
      </c>
      <c r="C12" s="105" t="n">
        <v>1</v>
      </c>
      <c r="D12" s="105" t="n">
        <v>1</v>
      </c>
      <c r="E12" s="105" t="n">
        <v>1</v>
      </c>
      <c r="F12" s="105" t="n">
        <v>1</v>
      </c>
      <c r="G12" s="105" t="n">
        <v>1</v>
      </c>
      <c r="H12" s="105" t="n">
        <v>1</v>
      </c>
      <c r="I12" s="105" t="n">
        <v>0.3</v>
      </c>
      <c r="J12" s="107" t="n">
        <v>3</v>
      </c>
    </row>
    <row r="13" customFormat="false" ht="21.75" hidden="false" customHeight="true" outlineLevel="0" collapsed="false">
      <c r="A13" s="103" t="n">
        <v>8</v>
      </c>
      <c r="B13" s="104" t="n">
        <v>240</v>
      </c>
      <c r="C13" s="105" t="n">
        <v>1</v>
      </c>
      <c r="D13" s="105" t="n">
        <v>1</v>
      </c>
      <c r="E13" s="105" t="n">
        <v>1</v>
      </c>
      <c r="F13" s="105" t="n">
        <v>1</v>
      </c>
      <c r="G13" s="105" t="n">
        <v>1</v>
      </c>
      <c r="H13" s="105" t="n">
        <v>1</v>
      </c>
      <c r="I13" s="105" t="n">
        <v>0.3</v>
      </c>
      <c r="J13" s="107" t="n">
        <v>1</v>
      </c>
    </row>
    <row r="14" customFormat="false" ht="21.75" hidden="false" customHeight="true" outlineLevel="0" collapsed="false">
      <c r="A14" s="103" t="n">
        <v>9</v>
      </c>
      <c r="B14" s="104" t="n">
        <v>270</v>
      </c>
      <c r="C14" s="105" t="n">
        <v>1</v>
      </c>
      <c r="D14" s="105" t="n">
        <v>1</v>
      </c>
      <c r="E14" s="105" t="n">
        <v>1</v>
      </c>
      <c r="F14" s="105" t="n">
        <v>1</v>
      </c>
      <c r="G14" s="105" t="n">
        <v>1</v>
      </c>
      <c r="H14" s="105" t="n">
        <v>1</v>
      </c>
      <c r="I14" s="105" t="n">
        <v>0.3</v>
      </c>
      <c r="J14" s="107" t="n">
        <v>1</v>
      </c>
    </row>
    <row r="15" customFormat="false" ht="21.75" hidden="false" customHeight="true" outlineLevel="0" collapsed="false">
      <c r="A15" s="103" t="n">
        <v>10</v>
      </c>
      <c r="B15" s="104" t="n">
        <v>300</v>
      </c>
      <c r="C15" s="105" t="n">
        <v>1</v>
      </c>
      <c r="D15" s="105" t="n">
        <v>1</v>
      </c>
      <c r="E15" s="105" t="n">
        <v>1</v>
      </c>
      <c r="F15" s="105" t="n">
        <v>1</v>
      </c>
      <c r="G15" s="105" t="n">
        <v>1</v>
      </c>
      <c r="H15" s="105" t="n">
        <v>1</v>
      </c>
      <c r="I15" s="105" t="n">
        <v>0.3</v>
      </c>
      <c r="J15" s="107" t="n">
        <v>1</v>
      </c>
    </row>
    <row r="16" customFormat="false" ht="21.75" hidden="false" customHeight="true" outlineLevel="0" collapsed="false">
      <c r="A16" s="103" t="n">
        <v>11</v>
      </c>
      <c r="B16" s="104" t="n">
        <v>330</v>
      </c>
      <c r="C16" s="105" t="n">
        <v>1</v>
      </c>
      <c r="D16" s="105" t="n">
        <v>1</v>
      </c>
      <c r="E16" s="105" t="n">
        <v>1</v>
      </c>
      <c r="F16" s="105" t="n">
        <v>1</v>
      </c>
      <c r="G16" s="105" t="n">
        <v>1</v>
      </c>
      <c r="H16" s="105" t="n">
        <v>1</v>
      </c>
      <c r="I16" s="105" t="n">
        <v>0.3</v>
      </c>
      <c r="J16" s="107" t="n">
        <v>1</v>
      </c>
    </row>
    <row r="17" customFormat="false" ht="21.75" hidden="false" customHeight="true" outlineLevel="0" collapsed="false">
      <c r="A17" s="103" t="n">
        <v>12</v>
      </c>
      <c r="B17" s="104" t="n">
        <v>360</v>
      </c>
      <c r="C17" s="105" t="n">
        <v>1</v>
      </c>
      <c r="D17" s="105" t="n">
        <v>1</v>
      </c>
      <c r="E17" s="105" t="n">
        <v>1</v>
      </c>
      <c r="F17" s="105" t="n">
        <v>1</v>
      </c>
      <c r="G17" s="105" t="n">
        <v>1</v>
      </c>
      <c r="H17" s="105" t="n">
        <v>1</v>
      </c>
      <c r="I17" s="105" t="n">
        <v>0.3</v>
      </c>
      <c r="J17" s="107" t="n">
        <v>1</v>
      </c>
    </row>
    <row r="18" customFormat="false" ht="21.75" hidden="false" customHeight="true" outlineLevel="0" collapsed="false">
      <c r="A18" s="103" t="n">
        <v>13</v>
      </c>
      <c r="B18" s="104" t="n">
        <v>390</v>
      </c>
      <c r="C18" s="105" t="n">
        <v>1</v>
      </c>
      <c r="D18" s="105" t="n">
        <v>1</v>
      </c>
      <c r="E18" s="105" t="n">
        <v>1</v>
      </c>
      <c r="F18" s="105" t="n">
        <v>1</v>
      </c>
      <c r="G18" s="105" t="n">
        <v>1</v>
      </c>
      <c r="H18" s="105" t="n">
        <v>1</v>
      </c>
      <c r="I18" s="105" t="n">
        <v>0.3</v>
      </c>
      <c r="J18" s="107" t="n">
        <v>1</v>
      </c>
    </row>
    <row r="19" customFormat="false" ht="21.75" hidden="false" customHeight="true" outlineLevel="0" collapsed="false">
      <c r="A19" s="103" t="n">
        <v>14</v>
      </c>
      <c r="B19" s="104" t="n">
        <v>420</v>
      </c>
      <c r="C19" s="105" t="n">
        <v>1</v>
      </c>
      <c r="D19" s="105" t="n">
        <v>1</v>
      </c>
      <c r="E19" s="105" t="n">
        <v>1</v>
      </c>
      <c r="F19" s="105" t="n">
        <v>1</v>
      </c>
      <c r="G19" s="105" t="n">
        <v>1</v>
      </c>
      <c r="H19" s="105" t="n">
        <v>1</v>
      </c>
      <c r="I19" s="105" t="n">
        <v>0.3</v>
      </c>
      <c r="J19" s="107" t="n">
        <v>1</v>
      </c>
    </row>
    <row r="20" customFormat="false" ht="21.75" hidden="false" customHeight="true" outlineLevel="0" collapsed="false">
      <c r="A20" s="103" t="n">
        <v>15</v>
      </c>
      <c r="B20" s="104" t="n">
        <v>450</v>
      </c>
      <c r="C20" s="105" t="n">
        <v>1</v>
      </c>
      <c r="D20" s="105" t="n">
        <v>1</v>
      </c>
      <c r="E20" s="105" t="n">
        <v>1</v>
      </c>
      <c r="F20" s="105" t="n">
        <v>1</v>
      </c>
      <c r="G20" s="105" t="n">
        <v>1</v>
      </c>
      <c r="H20" s="105" t="n">
        <v>1</v>
      </c>
      <c r="I20" s="105" t="n">
        <v>0.3</v>
      </c>
      <c r="J20" s="107" t="n">
        <v>1</v>
      </c>
    </row>
    <row r="21" customFormat="false" ht="21.75" hidden="false" customHeight="true" outlineLevel="0" collapsed="false">
      <c r="A21" s="103" t="n">
        <v>16</v>
      </c>
      <c r="B21" s="104" t="n">
        <v>480</v>
      </c>
      <c r="C21" s="105" t="n">
        <v>1</v>
      </c>
      <c r="D21" s="105" t="n">
        <v>1</v>
      </c>
      <c r="E21" s="105" t="n">
        <v>1</v>
      </c>
      <c r="F21" s="105" t="n">
        <v>1</v>
      </c>
      <c r="G21" s="105" t="n">
        <v>1</v>
      </c>
      <c r="H21" s="105" t="n">
        <v>1</v>
      </c>
      <c r="I21" s="105" t="n">
        <v>0.3</v>
      </c>
      <c r="J21" s="107" t="n">
        <v>1</v>
      </c>
    </row>
    <row r="22" customFormat="false" ht="21.75" hidden="false" customHeight="true" outlineLevel="0" collapsed="false">
      <c r="A22" s="103" t="n">
        <v>17</v>
      </c>
      <c r="B22" s="104" t="n">
        <v>510</v>
      </c>
      <c r="C22" s="105" t="n">
        <v>1</v>
      </c>
      <c r="D22" s="105" t="n">
        <v>1</v>
      </c>
      <c r="E22" s="105" t="n">
        <v>1</v>
      </c>
      <c r="F22" s="105" t="n">
        <v>1</v>
      </c>
      <c r="G22" s="105" t="n">
        <v>1</v>
      </c>
      <c r="H22" s="105" t="n">
        <v>1</v>
      </c>
      <c r="I22" s="105" t="n">
        <v>0.3</v>
      </c>
      <c r="J22" s="107" t="n">
        <v>1</v>
      </c>
    </row>
    <row r="23" customFormat="false" ht="21.75" hidden="false" customHeight="true" outlineLevel="0" collapsed="false">
      <c r="A23" s="103" t="n">
        <v>18</v>
      </c>
      <c r="B23" s="104" t="n">
        <v>540</v>
      </c>
      <c r="C23" s="105" t="n">
        <v>1</v>
      </c>
      <c r="D23" s="105" t="n">
        <v>1</v>
      </c>
      <c r="E23" s="105" t="n">
        <v>1</v>
      </c>
      <c r="F23" s="105" t="n">
        <v>1</v>
      </c>
      <c r="G23" s="105" t="n">
        <v>1</v>
      </c>
      <c r="H23" s="105" t="n">
        <v>1</v>
      </c>
      <c r="I23" s="105" t="n">
        <v>0.3</v>
      </c>
      <c r="J23" s="107" t="n">
        <v>1</v>
      </c>
    </row>
    <row r="24" customFormat="false" ht="21.75" hidden="false" customHeight="true" outlineLevel="0" collapsed="false">
      <c r="A24" s="103" t="n">
        <v>19</v>
      </c>
      <c r="B24" s="104" t="n">
        <v>570</v>
      </c>
      <c r="C24" s="105" t="n">
        <v>1</v>
      </c>
      <c r="D24" s="105" t="n">
        <v>1</v>
      </c>
      <c r="E24" s="105" t="n">
        <v>1</v>
      </c>
      <c r="F24" s="105" t="n">
        <v>1</v>
      </c>
      <c r="G24" s="105" t="n">
        <v>1</v>
      </c>
      <c r="H24" s="105" t="n">
        <v>1</v>
      </c>
      <c r="I24" s="105" t="n">
        <v>0.3</v>
      </c>
      <c r="J24" s="107" t="n">
        <v>1</v>
      </c>
    </row>
    <row r="25" customFormat="false" ht="21.75" hidden="false" customHeight="true" outlineLevel="0" collapsed="false">
      <c r="A25" s="103" t="n">
        <v>20</v>
      </c>
      <c r="B25" s="104" t="n">
        <v>600</v>
      </c>
      <c r="C25" s="105" t="n">
        <v>1</v>
      </c>
      <c r="D25" s="105" t="n">
        <v>1</v>
      </c>
      <c r="E25" s="105" t="n">
        <v>1</v>
      </c>
      <c r="F25" s="105" t="n">
        <v>1</v>
      </c>
      <c r="G25" s="105" t="n">
        <v>1</v>
      </c>
      <c r="H25" s="105" t="n">
        <v>1</v>
      </c>
      <c r="I25" s="105" t="n">
        <v>0.3</v>
      </c>
      <c r="J25" s="107" t="n">
        <v>1</v>
      </c>
    </row>
    <row r="26" customFormat="false" ht="13.5" hidden="false" customHeight="true" outlineLevel="0" collapsed="false">
      <c r="A26" s="78"/>
      <c r="J26" s="79"/>
    </row>
    <row r="27" customFormat="false" ht="36" hidden="false" customHeight="true" outlineLevel="0" collapsed="false">
      <c r="A27" s="108" t="s">
        <v>246</v>
      </c>
      <c r="B27" s="108"/>
      <c r="C27" s="108"/>
      <c r="D27" s="108"/>
      <c r="E27" s="108"/>
      <c r="F27" s="108"/>
      <c r="G27" s="108"/>
      <c r="H27" s="108"/>
      <c r="I27" s="109" t="s">
        <v>247</v>
      </c>
      <c r="J27" s="109"/>
    </row>
  </sheetData>
  <mergeCells count="4">
    <mergeCell ref="A1:J1"/>
    <mergeCell ref="A2:J2"/>
    <mergeCell ref="A27:H27"/>
    <mergeCell ref="I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20" activePane="bottomRight" state="frozen"/>
      <selection pane="topLeft" activeCell="A1" activeCellId="0" sqref="A1"/>
      <selection pane="topRight" activeCell="C1" activeCellId="0" sqref="C1"/>
      <selection pane="bottomLeft" activeCell="A20" activeCellId="0" sqref="A20"/>
      <selection pane="bottomRight" activeCell="O11" activeCellId="0" sqref="O1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4"/>
    <col collapsed="false" customWidth="true" hidden="false" outlineLevel="0" max="2" min="2" style="2" width="20"/>
    <col collapsed="false" customWidth="true" hidden="false" outlineLevel="0" max="3" min="3" style="2" width="14"/>
    <col collapsed="false" customWidth="true" hidden="false" outlineLevel="0" max="4" min="4" style="2" width="20"/>
    <col collapsed="false" customWidth="true" hidden="false" outlineLevel="0" max="5" min="5" style="2" width="12"/>
    <col collapsed="false" customWidth="true" hidden="false" outlineLevel="0" max="6" min="6" style="2" width="20"/>
    <col collapsed="false" customWidth="true" hidden="false" outlineLevel="0" max="7" min="7" style="2" width="19.57"/>
    <col collapsed="false" customWidth="true" hidden="false" outlineLevel="0" max="8" min="8" style="2" width="32.42"/>
    <col collapsed="false" customWidth="true" hidden="false" outlineLevel="0" max="9" min="9" style="2" width="30"/>
  </cols>
  <sheetData>
    <row r="1" customFormat="false" ht="31.5" hidden="false" customHeight="true" outlineLevel="0" collapsed="false">
      <c r="A1" s="110" t="s">
        <v>248</v>
      </c>
      <c r="B1" s="110"/>
      <c r="C1" s="110"/>
      <c r="D1" s="110"/>
      <c r="E1" s="110"/>
      <c r="F1" s="110"/>
      <c r="G1" s="110"/>
      <c r="H1" s="110"/>
      <c r="I1" s="110"/>
    </row>
    <row r="2" customFormat="false" ht="43.5" hidden="false" customHeight="true" outlineLevel="0" collapsed="false">
      <c r="A2" s="111" t="s">
        <v>249</v>
      </c>
      <c r="B2" s="111"/>
      <c r="C2" s="111"/>
      <c r="D2" s="111"/>
      <c r="E2" s="111"/>
      <c r="F2" s="111"/>
      <c r="G2" s="111"/>
      <c r="H2" s="111"/>
      <c r="I2" s="111"/>
    </row>
    <row r="3" s="29" customFormat="true" ht="42" hidden="false" customHeight="true" outlineLevel="0" collapsed="false">
      <c r="A3" s="112" t="s">
        <v>250</v>
      </c>
      <c r="B3" s="113" t="s">
        <v>251</v>
      </c>
      <c r="C3" s="114" t="s">
        <v>252</v>
      </c>
      <c r="D3" s="113" t="s">
        <v>253</v>
      </c>
      <c r="E3" s="115" t="s">
        <v>254</v>
      </c>
      <c r="F3" s="113" t="s">
        <v>255</v>
      </c>
      <c r="G3" s="116" t="s">
        <v>256</v>
      </c>
      <c r="H3" s="117" t="s">
        <v>257</v>
      </c>
      <c r="I3" s="118"/>
    </row>
    <row r="4" customFormat="false" ht="13.5" hidden="false" customHeight="true" outlineLevel="0" collapsed="false"/>
    <row r="5" customFormat="false" ht="69.75" hidden="false" customHeight="true" outlineLevel="0" collapsed="false">
      <c r="A5" s="119" t="s">
        <v>258</v>
      </c>
      <c r="B5" s="119" t="s">
        <v>259</v>
      </c>
      <c r="C5" s="119" t="s">
        <v>260</v>
      </c>
      <c r="D5" s="119" t="s">
        <v>261</v>
      </c>
      <c r="E5" s="119" t="s">
        <v>262</v>
      </c>
      <c r="F5" s="119" t="s">
        <v>263</v>
      </c>
      <c r="G5" s="119" t="s">
        <v>264</v>
      </c>
      <c r="H5" s="119" t="s">
        <v>265</v>
      </c>
      <c r="I5" s="119" t="s">
        <v>266</v>
      </c>
    </row>
    <row r="6" customFormat="false" ht="60" hidden="false" customHeight="true" outlineLevel="0" collapsed="false">
      <c r="A6" s="120" t="s">
        <v>15</v>
      </c>
      <c r="B6" s="121" t="s">
        <v>267</v>
      </c>
      <c r="C6" s="122" t="s">
        <v>54</v>
      </c>
      <c r="D6" s="123" t="s">
        <v>268</v>
      </c>
      <c r="E6" s="124" t="s">
        <v>269</v>
      </c>
      <c r="F6" s="125" t="n">
        <v>4</v>
      </c>
      <c r="G6" s="126" t="n">
        <v>0</v>
      </c>
      <c r="H6" s="127" t="s">
        <v>270</v>
      </c>
      <c r="I6" s="128" t="s">
        <v>271</v>
      </c>
    </row>
    <row r="7" customFormat="false" ht="60" hidden="false" customHeight="true" outlineLevel="0" collapsed="false">
      <c r="A7" s="129" t="s">
        <v>15</v>
      </c>
      <c r="B7" s="130" t="s">
        <v>267</v>
      </c>
      <c r="C7" s="131" t="s">
        <v>61</v>
      </c>
      <c r="D7" s="132" t="s">
        <v>62</v>
      </c>
      <c r="E7" s="133" t="s">
        <v>272</v>
      </c>
      <c r="F7" s="134" t="n">
        <v>22</v>
      </c>
      <c r="G7" s="135" t="n">
        <v>0</v>
      </c>
      <c r="H7" s="136" t="s">
        <v>273</v>
      </c>
      <c r="I7" s="137" t="s">
        <v>274</v>
      </c>
    </row>
    <row r="8" customFormat="false" ht="60" hidden="false" customHeight="true" outlineLevel="0" collapsed="false">
      <c r="A8" s="129" t="s">
        <v>15</v>
      </c>
      <c r="B8" s="130" t="s">
        <v>267</v>
      </c>
      <c r="C8" s="131" t="s">
        <v>67</v>
      </c>
      <c r="D8" s="132" t="s">
        <v>275</v>
      </c>
      <c r="E8" s="133" t="s">
        <v>272</v>
      </c>
      <c r="F8" s="134" t="n">
        <v>8</v>
      </c>
      <c r="G8" s="135" t="n">
        <v>4</v>
      </c>
      <c r="H8" s="136" t="s">
        <v>276</v>
      </c>
      <c r="I8" s="137" t="s">
        <v>277</v>
      </c>
    </row>
    <row r="9" customFormat="false" ht="60" hidden="false" customHeight="true" outlineLevel="0" collapsed="false">
      <c r="A9" s="129" t="s">
        <v>15</v>
      </c>
      <c r="B9" s="130" t="s">
        <v>267</v>
      </c>
      <c r="C9" s="131" t="s">
        <v>73</v>
      </c>
      <c r="D9" s="132" t="s">
        <v>74</v>
      </c>
      <c r="E9" s="133" t="s">
        <v>272</v>
      </c>
      <c r="F9" s="134" t="n">
        <v>22</v>
      </c>
      <c r="G9" s="135" t="n">
        <v>0</v>
      </c>
      <c r="H9" s="136" t="s">
        <v>278</v>
      </c>
      <c r="I9" s="137" t="s">
        <v>279</v>
      </c>
    </row>
    <row r="10" customFormat="false" ht="60" hidden="false" customHeight="true" outlineLevel="0" collapsed="false">
      <c r="A10" s="129" t="s">
        <v>15</v>
      </c>
      <c r="B10" s="130" t="s">
        <v>267</v>
      </c>
      <c r="C10" s="131" t="s">
        <v>79</v>
      </c>
      <c r="D10" s="132" t="s">
        <v>280</v>
      </c>
      <c r="E10" s="133" t="s">
        <v>272</v>
      </c>
      <c r="F10" s="134" t="n">
        <v>22</v>
      </c>
      <c r="G10" s="135" t="n">
        <v>0</v>
      </c>
      <c r="H10" s="136" t="s">
        <v>281</v>
      </c>
      <c r="I10" s="137" t="s">
        <v>282</v>
      </c>
    </row>
    <row r="11" customFormat="false" ht="60" hidden="false" customHeight="true" outlineLevel="0" collapsed="false">
      <c r="A11" s="129" t="s">
        <v>15</v>
      </c>
      <c r="B11" s="130" t="s">
        <v>267</v>
      </c>
      <c r="C11" s="131" t="s">
        <v>85</v>
      </c>
      <c r="D11" s="132" t="s">
        <v>86</v>
      </c>
      <c r="E11" s="138" t="s">
        <v>269</v>
      </c>
      <c r="F11" s="134" t="n">
        <v>16</v>
      </c>
      <c r="G11" s="135" t="n">
        <v>0</v>
      </c>
      <c r="H11" s="136" t="s">
        <v>283</v>
      </c>
      <c r="I11" s="137" t="s">
        <v>284</v>
      </c>
    </row>
    <row r="12" customFormat="false" ht="60" hidden="false" customHeight="true" outlineLevel="0" collapsed="false">
      <c r="A12" s="129" t="s">
        <v>23</v>
      </c>
      <c r="B12" s="130" t="s">
        <v>24</v>
      </c>
      <c r="C12" s="131" t="s">
        <v>54</v>
      </c>
      <c r="D12" s="132" t="s">
        <v>268</v>
      </c>
      <c r="E12" s="139" t="s">
        <v>285</v>
      </c>
      <c r="F12" s="134" t="n">
        <v>8</v>
      </c>
      <c r="G12" s="140" t="n">
        <v>12</v>
      </c>
      <c r="H12" s="136" t="s">
        <v>286</v>
      </c>
      <c r="I12" s="137" t="s">
        <v>287</v>
      </c>
    </row>
    <row r="13" customFormat="false" ht="60" hidden="false" customHeight="true" outlineLevel="0" collapsed="false">
      <c r="A13" s="129" t="s">
        <v>23</v>
      </c>
      <c r="B13" s="130" t="s">
        <v>24</v>
      </c>
      <c r="C13" s="131" t="s">
        <v>61</v>
      </c>
      <c r="D13" s="132" t="s">
        <v>62</v>
      </c>
      <c r="E13" s="133" t="s">
        <v>272</v>
      </c>
      <c r="F13" s="134" t="n">
        <v>8</v>
      </c>
      <c r="G13" s="140" t="n">
        <v>12</v>
      </c>
      <c r="H13" s="136" t="s">
        <v>288</v>
      </c>
      <c r="I13" s="137" t="s">
        <v>289</v>
      </c>
    </row>
    <row r="14" customFormat="false" ht="60" hidden="false" customHeight="true" outlineLevel="0" collapsed="false">
      <c r="A14" s="129" t="s">
        <v>23</v>
      </c>
      <c r="B14" s="130" t="s">
        <v>24</v>
      </c>
      <c r="C14" s="131" t="s">
        <v>67</v>
      </c>
      <c r="D14" s="132" t="s">
        <v>275</v>
      </c>
      <c r="E14" s="138" t="s">
        <v>269</v>
      </c>
      <c r="F14" s="134" t="n">
        <v>8</v>
      </c>
      <c r="G14" s="141" t="n">
        <v>14</v>
      </c>
      <c r="H14" s="136" t="s">
        <v>290</v>
      </c>
      <c r="I14" s="137" t="s">
        <v>291</v>
      </c>
    </row>
    <row r="15" customFormat="false" ht="60" hidden="false" customHeight="true" outlineLevel="0" collapsed="false">
      <c r="A15" s="129" t="s">
        <v>23</v>
      </c>
      <c r="B15" s="130" t="s">
        <v>24</v>
      </c>
      <c r="C15" s="131" t="s">
        <v>73</v>
      </c>
      <c r="D15" s="132" t="s">
        <v>74</v>
      </c>
      <c r="E15" s="142" t="s">
        <v>292</v>
      </c>
      <c r="F15" s="143" t="n">
        <v>0</v>
      </c>
      <c r="G15" s="141" t="n">
        <v>20</v>
      </c>
      <c r="H15" s="136" t="s">
        <v>293</v>
      </c>
      <c r="I15" s="137" t="s">
        <v>294</v>
      </c>
    </row>
    <row r="16" customFormat="false" ht="60" hidden="false" customHeight="true" outlineLevel="0" collapsed="false">
      <c r="A16" s="129" t="s">
        <v>23</v>
      </c>
      <c r="B16" s="130" t="s">
        <v>24</v>
      </c>
      <c r="C16" s="131" t="s">
        <v>79</v>
      </c>
      <c r="D16" s="132" t="s">
        <v>280</v>
      </c>
      <c r="E16" s="138" t="s">
        <v>269</v>
      </c>
      <c r="F16" s="134" t="n">
        <v>4</v>
      </c>
      <c r="G16" s="141" t="n">
        <v>17</v>
      </c>
      <c r="H16" s="136" t="s">
        <v>295</v>
      </c>
      <c r="I16" s="137" t="s">
        <v>296</v>
      </c>
    </row>
    <row r="17" customFormat="false" ht="60" hidden="false" customHeight="true" outlineLevel="0" collapsed="false">
      <c r="A17" s="129" t="s">
        <v>23</v>
      </c>
      <c r="B17" s="130" t="s">
        <v>24</v>
      </c>
      <c r="C17" s="131" t="s">
        <v>85</v>
      </c>
      <c r="D17" s="132" t="s">
        <v>86</v>
      </c>
      <c r="E17" s="142" t="s">
        <v>292</v>
      </c>
      <c r="F17" s="141" t="n">
        <v>-2</v>
      </c>
      <c r="G17" s="141" t="n">
        <v>20</v>
      </c>
      <c r="H17" s="136" t="s">
        <v>297</v>
      </c>
      <c r="I17" s="137" t="s">
        <v>298</v>
      </c>
    </row>
    <row r="18" customFormat="false" ht="60" hidden="false" customHeight="true" outlineLevel="0" collapsed="false">
      <c r="A18" s="129" t="s">
        <v>30</v>
      </c>
      <c r="B18" s="130" t="s">
        <v>31</v>
      </c>
      <c r="C18" s="131" t="s">
        <v>54</v>
      </c>
      <c r="D18" s="132" t="s">
        <v>268</v>
      </c>
      <c r="E18" s="138" t="s">
        <v>269</v>
      </c>
      <c r="F18" s="134" t="n">
        <v>14</v>
      </c>
      <c r="G18" s="141" t="n">
        <v>15</v>
      </c>
      <c r="H18" s="136" t="s">
        <v>299</v>
      </c>
      <c r="I18" s="137" t="s">
        <v>300</v>
      </c>
    </row>
    <row r="19" customFormat="false" ht="60" hidden="false" customHeight="true" outlineLevel="0" collapsed="false">
      <c r="A19" s="129" t="s">
        <v>30</v>
      </c>
      <c r="B19" s="130" t="s">
        <v>31</v>
      </c>
      <c r="C19" s="131" t="s">
        <v>61</v>
      </c>
      <c r="D19" s="132" t="s">
        <v>62</v>
      </c>
      <c r="E19" s="142" t="s">
        <v>292</v>
      </c>
      <c r="F19" s="143" t="n">
        <v>0</v>
      </c>
      <c r="G19" s="141" t="n">
        <v>20</v>
      </c>
      <c r="H19" s="136" t="s">
        <v>301</v>
      </c>
      <c r="I19" s="137" t="s">
        <v>302</v>
      </c>
    </row>
    <row r="20" customFormat="false" ht="60" hidden="false" customHeight="true" outlineLevel="0" collapsed="false">
      <c r="A20" s="129" t="s">
        <v>30</v>
      </c>
      <c r="B20" s="130" t="s">
        <v>31</v>
      </c>
      <c r="C20" s="131" t="s">
        <v>67</v>
      </c>
      <c r="D20" s="132" t="s">
        <v>275</v>
      </c>
      <c r="E20" s="133" t="s">
        <v>272</v>
      </c>
      <c r="F20" s="134" t="n">
        <v>14</v>
      </c>
      <c r="G20" s="141" t="n">
        <v>15</v>
      </c>
      <c r="H20" s="136" t="s">
        <v>303</v>
      </c>
      <c r="I20" s="137" t="s">
        <v>304</v>
      </c>
    </row>
    <row r="21" customFormat="false" ht="60" hidden="false" customHeight="true" outlineLevel="0" collapsed="false">
      <c r="A21" s="129" t="s">
        <v>30</v>
      </c>
      <c r="B21" s="130" t="s">
        <v>31</v>
      </c>
      <c r="C21" s="131" t="s">
        <v>73</v>
      </c>
      <c r="D21" s="132" t="s">
        <v>74</v>
      </c>
      <c r="E21" s="133" t="s">
        <v>272</v>
      </c>
      <c r="F21" s="134" t="n">
        <v>14</v>
      </c>
      <c r="G21" s="141" t="n">
        <v>15</v>
      </c>
      <c r="H21" s="136" t="s">
        <v>305</v>
      </c>
      <c r="I21" s="137" t="s">
        <v>306</v>
      </c>
    </row>
    <row r="22" customFormat="false" ht="60" hidden="false" customHeight="true" outlineLevel="0" collapsed="false">
      <c r="A22" s="129" t="s">
        <v>30</v>
      </c>
      <c r="B22" s="130" t="s">
        <v>31</v>
      </c>
      <c r="C22" s="131" t="s">
        <v>79</v>
      </c>
      <c r="D22" s="132" t="s">
        <v>280</v>
      </c>
      <c r="E22" s="133" t="s">
        <v>272</v>
      </c>
      <c r="F22" s="134" t="n">
        <v>14</v>
      </c>
      <c r="G22" s="141" t="n">
        <v>15</v>
      </c>
      <c r="H22" s="136" t="s">
        <v>307</v>
      </c>
      <c r="I22" s="137" t="s">
        <v>308</v>
      </c>
    </row>
    <row r="23" customFormat="false" ht="60" hidden="false" customHeight="true" outlineLevel="0" collapsed="false">
      <c r="A23" s="129" t="s">
        <v>30</v>
      </c>
      <c r="B23" s="130" t="s">
        <v>31</v>
      </c>
      <c r="C23" s="131" t="s">
        <v>85</v>
      </c>
      <c r="D23" s="132" t="s">
        <v>86</v>
      </c>
      <c r="E23" s="138" t="s">
        <v>269</v>
      </c>
      <c r="F23" s="134" t="n">
        <v>8</v>
      </c>
      <c r="G23" s="141" t="n">
        <v>15</v>
      </c>
      <c r="H23" s="136" t="s">
        <v>309</v>
      </c>
      <c r="I23" s="137" t="s">
        <v>310</v>
      </c>
    </row>
    <row r="24" customFormat="false" ht="60" hidden="false" customHeight="true" outlineLevel="0" collapsed="false">
      <c r="A24" s="129" t="s">
        <v>36</v>
      </c>
      <c r="B24" s="130" t="s">
        <v>311</v>
      </c>
      <c r="C24" s="131" t="s">
        <v>54</v>
      </c>
      <c r="D24" s="132" t="s">
        <v>268</v>
      </c>
      <c r="E24" s="133" t="s">
        <v>272</v>
      </c>
      <c r="F24" s="134" t="n">
        <v>18</v>
      </c>
      <c r="G24" s="135" t="n">
        <v>0</v>
      </c>
      <c r="H24" s="136" t="s">
        <v>312</v>
      </c>
      <c r="I24" s="137" t="s">
        <v>313</v>
      </c>
    </row>
    <row r="25" customFormat="false" ht="60" hidden="false" customHeight="true" outlineLevel="0" collapsed="false">
      <c r="A25" s="129" t="s">
        <v>36</v>
      </c>
      <c r="B25" s="130" t="s">
        <v>311</v>
      </c>
      <c r="C25" s="131" t="s">
        <v>61</v>
      </c>
      <c r="D25" s="132" t="s">
        <v>62</v>
      </c>
      <c r="E25" s="133" t="s">
        <v>272</v>
      </c>
      <c r="F25" s="134" t="n">
        <v>18</v>
      </c>
      <c r="G25" s="135" t="n">
        <v>0</v>
      </c>
      <c r="H25" s="136" t="s">
        <v>314</v>
      </c>
      <c r="I25" s="137" t="s">
        <v>306</v>
      </c>
    </row>
    <row r="26" customFormat="false" ht="60" hidden="false" customHeight="true" outlineLevel="0" collapsed="false">
      <c r="A26" s="129" t="s">
        <v>36</v>
      </c>
      <c r="B26" s="130" t="s">
        <v>311</v>
      </c>
      <c r="C26" s="131" t="s">
        <v>67</v>
      </c>
      <c r="D26" s="132" t="s">
        <v>275</v>
      </c>
      <c r="E26" s="138" t="s">
        <v>269</v>
      </c>
      <c r="F26" s="134" t="n">
        <v>4</v>
      </c>
      <c r="G26" s="140" t="n">
        <v>6</v>
      </c>
      <c r="H26" s="136" t="s">
        <v>315</v>
      </c>
      <c r="I26" s="137" t="s">
        <v>316</v>
      </c>
    </row>
    <row r="27" customFormat="false" ht="60" hidden="false" customHeight="true" outlineLevel="0" collapsed="false">
      <c r="A27" s="129" t="s">
        <v>36</v>
      </c>
      <c r="B27" s="130" t="s">
        <v>311</v>
      </c>
      <c r="C27" s="131" t="s">
        <v>73</v>
      </c>
      <c r="D27" s="132" t="s">
        <v>74</v>
      </c>
      <c r="E27" s="133" t="s">
        <v>272</v>
      </c>
      <c r="F27" s="134" t="n">
        <v>18</v>
      </c>
      <c r="G27" s="135" t="n">
        <v>0</v>
      </c>
      <c r="H27" s="136" t="s">
        <v>317</v>
      </c>
      <c r="I27" s="137" t="s">
        <v>306</v>
      </c>
    </row>
    <row r="28" customFormat="false" ht="60" hidden="false" customHeight="true" outlineLevel="0" collapsed="false">
      <c r="A28" s="129" t="s">
        <v>36</v>
      </c>
      <c r="B28" s="130" t="s">
        <v>311</v>
      </c>
      <c r="C28" s="131" t="s">
        <v>79</v>
      </c>
      <c r="D28" s="132" t="s">
        <v>280</v>
      </c>
      <c r="E28" s="133" t="s">
        <v>272</v>
      </c>
      <c r="F28" s="134" t="n">
        <v>18</v>
      </c>
      <c r="G28" s="135" t="n">
        <v>0</v>
      </c>
      <c r="H28" s="136" t="s">
        <v>318</v>
      </c>
      <c r="I28" s="137" t="s">
        <v>306</v>
      </c>
    </row>
    <row r="29" customFormat="false" ht="60" hidden="false" customHeight="true" outlineLevel="0" collapsed="false">
      <c r="A29" s="129" t="s">
        <v>36</v>
      </c>
      <c r="B29" s="130" t="s">
        <v>311</v>
      </c>
      <c r="C29" s="131" t="s">
        <v>85</v>
      </c>
      <c r="D29" s="132" t="s">
        <v>86</v>
      </c>
      <c r="E29" s="138" t="s">
        <v>269</v>
      </c>
      <c r="F29" s="134" t="n">
        <v>12</v>
      </c>
      <c r="G29" s="135" t="n">
        <v>0</v>
      </c>
      <c r="H29" s="136" t="s">
        <v>319</v>
      </c>
      <c r="I29" s="137" t="s">
        <v>320</v>
      </c>
    </row>
    <row r="30" customFormat="false" ht="60" hidden="false" customHeight="true" outlineLevel="0" collapsed="false">
      <c r="A30" s="129" t="s">
        <v>42</v>
      </c>
      <c r="B30" s="130" t="s">
        <v>321</v>
      </c>
      <c r="C30" s="131" t="s">
        <v>54</v>
      </c>
      <c r="D30" s="132" t="s">
        <v>268</v>
      </c>
      <c r="E30" s="139" t="s">
        <v>285</v>
      </c>
      <c r="F30" s="134" t="n">
        <v>6</v>
      </c>
      <c r="G30" s="141" t="n">
        <v>25</v>
      </c>
      <c r="H30" s="136" t="s">
        <v>322</v>
      </c>
      <c r="I30" s="137" t="s">
        <v>323</v>
      </c>
    </row>
    <row r="31" customFormat="false" ht="60" hidden="false" customHeight="true" outlineLevel="0" collapsed="false">
      <c r="A31" s="129" t="s">
        <v>42</v>
      </c>
      <c r="B31" s="130" t="s">
        <v>321</v>
      </c>
      <c r="C31" s="131" t="s">
        <v>61</v>
      </c>
      <c r="D31" s="132" t="s">
        <v>62</v>
      </c>
      <c r="E31" s="133" t="s">
        <v>272</v>
      </c>
      <c r="F31" s="134" t="n">
        <v>6</v>
      </c>
      <c r="G31" s="141" t="n">
        <v>25</v>
      </c>
      <c r="H31" s="136" t="s">
        <v>324</v>
      </c>
      <c r="I31" s="137" t="s">
        <v>325</v>
      </c>
    </row>
    <row r="32" customFormat="false" ht="60" hidden="false" customHeight="true" outlineLevel="0" collapsed="false">
      <c r="A32" s="129" t="s">
        <v>42</v>
      </c>
      <c r="B32" s="130" t="s">
        <v>321</v>
      </c>
      <c r="C32" s="131" t="s">
        <v>67</v>
      </c>
      <c r="D32" s="132" t="s">
        <v>275</v>
      </c>
      <c r="E32" s="133" t="s">
        <v>272</v>
      </c>
      <c r="F32" s="134" t="n">
        <v>6</v>
      </c>
      <c r="G32" s="140" t="n">
        <v>12</v>
      </c>
      <c r="H32" s="136" t="s">
        <v>326</v>
      </c>
      <c r="I32" s="137" t="s">
        <v>327</v>
      </c>
    </row>
    <row r="33" customFormat="false" ht="60" hidden="false" customHeight="true" outlineLevel="0" collapsed="false">
      <c r="A33" s="129" t="s">
        <v>42</v>
      </c>
      <c r="B33" s="130" t="s">
        <v>321</v>
      </c>
      <c r="C33" s="131" t="s">
        <v>73</v>
      </c>
      <c r="D33" s="132" t="s">
        <v>74</v>
      </c>
      <c r="E33" s="138" t="s">
        <v>269</v>
      </c>
      <c r="F33" s="134" t="n">
        <v>3</v>
      </c>
      <c r="G33" s="141" t="n">
        <v>20</v>
      </c>
      <c r="H33" s="136" t="s">
        <v>328</v>
      </c>
      <c r="I33" s="137" t="s">
        <v>329</v>
      </c>
    </row>
    <row r="34" customFormat="false" ht="60" hidden="false" customHeight="true" outlineLevel="0" collapsed="false">
      <c r="A34" s="129" t="s">
        <v>42</v>
      </c>
      <c r="B34" s="130" t="s">
        <v>321</v>
      </c>
      <c r="C34" s="131" t="s">
        <v>79</v>
      </c>
      <c r="D34" s="132" t="s">
        <v>280</v>
      </c>
      <c r="E34" s="142" t="s">
        <v>292</v>
      </c>
      <c r="F34" s="143" t="n">
        <v>0</v>
      </c>
      <c r="G34" s="141" t="n">
        <v>25</v>
      </c>
      <c r="H34" s="136" t="s">
        <v>330</v>
      </c>
      <c r="I34" s="137" t="s">
        <v>331</v>
      </c>
    </row>
    <row r="35" customFormat="false" ht="60" hidden="false" customHeight="true" outlineLevel="0" collapsed="false">
      <c r="A35" s="129" t="s">
        <v>42</v>
      </c>
      <c r="B35" s="130" t="s">
        <v>321</v>
      </c>
      <c r="C35" s="131" t="s">
        <v>85</v>
      </c>
      <c r="D35" s="132" t="s">
        <v>86</v>
      </c>
      <c r="E35" s="138" t="s">
        <v>269</v>
      </c>
      <c r="F35" s="134" t="n">
        <v>2</v>
      </c>
      <c r="G35" s="141" t="n">
        <v>20</v>
      </c>
      <c r="H35" s="136" t="s">
        <v>332</v>
      </c>
      <c r="I35" s="137" t="s">
        <v>333</v>
      </c>
    </row>
    <row r="36" customFormat="false" ht="60" hidden="false" customHeight="true" outlineLevel="0" collapsed="false">
      <c r="A36" s="129" t="s">
        <v>48</v>
      </c>
      <c r="B36" s="130" t="s">
        <v>334</v>
      </c>
      <c r="C36" s="131" t="s">
        <v>54</v>
      </c>
      <c r="D36" s="132" t="s">
        <v>268</v>
      </c>
      <c r="E36" s="133" t="s">
        <v>272</v>
      </c>
      <c r="F36" s="134" t="n">
        <v>12</v>
      </c>
      <c r="G36" s="140" t="n">
        <v>8</v>
      </c>
      <c r="H36" s="136" t="s">
        <v>335</v>
      </c>
      <c r="I36" s="137" t="s">
        <v>336</v>
      </c>
    </row>
    <row r="37" customFormat="false" ht="60" hidden="false" customHeight="true" outlineLevel="0" collapsed="false">
      <c r="A37" s="129" t="s">
        <v>48</v>
      </c>
      <c r="B37" s="130" t="s">
        <v>334</v>
      </c>
      <c r="C37" s="131" t="s">
        <v>61</v>
      </c>
      <c r="D37" s="132" t="s">
        <v>62</v>
      </c>
      <c r="E37" s="133" t="s">
        <v>272</v>
      </c>
      <c r="F37" s="134" t="n">
        <v>12</v>
      </c>
      <c r="G37" s="140" t="n">
        <v>8</v>
      </c>
      <c r="H37" s="136" t="s">
        <v>337</v>
      </c>
      <c r="I37" s="137" t="s">
        <v>306</v>
      </c>
    </row>
    <row r="38" customFormat="false" ht="60" hidden="false" customHeight="true" outlineLevel="0" collapsed="false">
      <c r="A38" s="129" t="s">
        <v>48</v>
      </c>
      <c r="B38" s="130" t="s">
        <v>334</v>
      </c>
      <c r="C38" s="131" t="s">
        <v>67</v>
      </c>
      <c r="D38" s="132" t="s">
        <v>275</v>
      </c>
      <c r="E38" s="138" t="s">
        <v>269</v>
      </c>
      <c r="F38" s="134" t="n">
        <v>6</v>
      </c>
      <c r="G38" s="141" t="n">
        <v>14</v>
      </c>
      <c r="H38" s="136" t="s">
        <v>338</v>
      </c>
      <c r="I38" s="137" t="s">
        <v>339</v>
      </c>
    </row>
    <row r="39" customFormat="false" ht="60" hidden="false" customHeight="true" outlineLevel="0" collapsed="false">
      <c r="A39" s="129" t="s">
        <v>48</v>
      </c>
      <c r="B39" s="130" t="s">
        <v>334</v>
      </c>
      <c r="C39" s="131" t="s">
        <v>73</v>
      </c>
      <c r="D39" s="132" t="s">
        <v>74</v>
      </c>
      <c r="E39" s="133" t="s">
        <v>272</v>
      </c>
      <c r="F39" s="134" t="n">
        <v>12</v>
      </c>
      <c r="G39" s="140" t="n">
        <v>8</v>
      </c>
      <c r="H39" s="136" t="s">
        <v>340</v>
      </c>
      <c r="I39" s="137" t="s">
        <v>306</v>
      </c>
    </row>
    <row r="40" customFormat="false" ht="60" hidden="false" customHeight="true" outlineLevel="0" collapsed="false">
      <c r="A40" s="129" t="s">
        <v>48</v>
      </c>
      <c r="B40" s="130" t="s">
        <v>334</v>
      </c>
      <c r="C40" s="131" t="s">
        <v>79</v>
      </c>
      <c r="D40" s="132" t="s">
        <v>280</v>
      </c>
      <c r="E40" s="133" t="s">
        <v>272</v>
      </c>
      <c r="F40" s="134" t="n">
        <v>12</v>
      </c>
      <c r="G40" s="140" t="n">
        <v>8</v>
      </c>
      <c r="H40" s="136" t="s">
        <v>341</v>
      </c>
      <c r="I40" s="137" t="s">
        <v>306</v>
      </c>
    </row>
    <row r="41" customFormat="false" ht="60" hidden="false" customHeight="true" outlineLevel="0" collapsed="false">
      <c r="A41" s="144" t="s">
        <v>48</v>
      </c>
      <c r="B41" s="145" t="s">
        <v>334</v>
      </c>
      <c r="C41" s="146" t="s">
        <v>85</v>
      </c>
      <c r="D41" s="147" t="s">
        <v>86</v>
      </c>
      <c r="E41" s="148" t="s">
        <v>269</v>
      </c>
      <c r="F41" s="149" t="n">
        <v>6</v>
      </c>
      <c r="G41" s="150" t="n">
        <v>8</v>
      </c>
      <c r="H41" s="151" t="s">
        <v>342</v>
      </c>
      <c r="I41" s="152" t="s">
        <v>343</v>
      </c>
    </row>
    <row r="43" customFormat="false" ht="13.5" hidden="false" customHeight="true" outlineLevel="0" collapsed="false"/>
    <row r="44" customFormat="false" ht="55.5" hidden="false" customHeight="true" outlineLevel="0" collapsed="false">
      <c r="A44" s="153" t="s">
        <v>344</v>
      </c>
      <c r="B44" s="154" t="s">
        <v>345</v>
      </c>
      <c r="C44" s="155" t="s">
        <v>346</v>
      </c>
      <c r="D44" s="156" t="s">
        <v>347</v>
      </c>
      <c r="E44" s="157" t="s">
        <v>348</v>
      </c>
      <c r="F44" s="158" t="s">
        <v>349</v>
      </c>
      <c r="G44" s="158"/>
      <c r="H44" s="158"/>
      <c r="I44" s="158"/>
    </row>
  </sheetData>
  <mergeCells count="3">
    <mergeCell ref="A1:I1"/>
    <mergeCell ref="A2:I2"/>
    <mergeCell ref="F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71484375" defaultRowHeight="15" zeroHeight="false" outlineLevelRow="0" outlineLevelCol="0"/>
  <cols>
    <col collapsed="false" customWidth="true" hidden="false" outlineLevel="0" max="1" min="1" style="159" width="18"/>
    <col collapsed="false" customWidth="true" hidden="false" outlineLevel="0" max="2" min="2" style="159" width="44.14"/>
    <col collapsed="false" customWidth="false" hidden="false" outlineLevel="0" max="16384" min="3" style="159" width="8.71"/>
  </cols>
  <sheetData>
    <row r="1" customFormat="false" ht="36" hidden="false" customHeight="true" outlineLevel="0" collapsed="false">
      <c r="A1" s="160" t="s">
        <v>350</v>
      </c>
      <c r="B1" s="161" t="s">
        <v>351</v>
      </c>
    </row>
    <row r="2" customFormat="false" ht="52.5" hidden="false" customHeight="true" outlineLevel="0" collapsed="false">
      <c r="A2" s="162" t="s">
        <v>352</v>
      </c>
      <c r="B2" s="163" t="s">
        <v>353</v>
      </c>
    </row>
    <row r="3" customFormat="false" ht="54.75" hidden="false" customHeight="true" outlineLevel="0" collapsed="false">
      <c r="A3" s="164" t="s">
        <v>354</v>
      </c>
      <c r="B3" s="165" t="s">
        <v>355</v>
      </c>
    </row>
    <row r="4" customFormat="false" ht="65.25" hidden="false" customHeight="true" outlineLevel="0" collapsed="false">
      <c r="A4" s="166" t="s">
        <v>356</v>
      </c>
      <c r="B4" s="167" t="s">
        <v>357</v>
      </c>
    </row>
    <row r="5" customFormat="false" ht="24" hidden="false" customHeight="true" outlineLevel="0" collapsed="false">
      <c r="A5" s="168"/>
      <c r="B5" s="169"/>
    </row>
    <row r="6" customFormat="false" ht="36" hidden="false" customHeight="true" outlineLevel="0" collapsed="false">
      <c r="A6" s="160" t="s">
        <v>358</v>
      </c>
      <c r="B6" s="161"/>
    </row>
    <row r="7" customFormat="false" ht="36" hidden="false" customHeight="true" outlineLevel="0" collapsed="false">
      <c r="A7" s="170" t="s">
        <v>359</v>
      </c>
      <c r="B7" s="171" t="s">
        <v>360</v>
      </c>
    </row>
    <row r="8" customFormat="false" ht="45" hidden="false" customHeight="true" outlineLevel="0" collapsed="false">
      <c r="A8" s="172"/>
      <c r="B8" s="173" t="s">
        <v>361</v>
      </c>
    </row>
    <row r="9" customFormat="false" ht="61.5" hidden="false" customHeight="true" outlineLevel="0" collapsed="false">
      <c r="A9" s="174"/>
      <c r="B9" s="175" t="s">
        <v>362</v>
      </c>
    </row>
    <row r="10" customFormat="false" ht="45" hidden="false" customHeight="true" outlineLevel="0" collapsed="false">
      <c r="A10" s="174"/>
      <c r="B10" s="175" t="s">
        <v>363</v>
      </c>
    </row>
    <row r="11" customFormat="false" ht="44.25" hidden="false" customHeight="true" outlineLevel="0" collapsed="false">
      <c r="A11" s="174"/>
      <c r="B11" s="175" t="s">
        <v>364</v>
      </c>
    </row>
    <row r="12" customFormat="false" ht="47.25" hidden="false" customHeight="true" outlineLevel="0" collapsed="false">
      <c r="A12" s="174"/>
      <c r="B12" s="175" t="s">
        <v>365</v>
      </c>
    </row>
    <row r="13" customFormat="false" ht="50.25" hidden="false" customHeight="true" outlineLevel="0" collapsed="false">
      <c r="A13" s="174"/>
      <c r="B13" s="175" t="s">
        <v>366</v>
      </c>
    </row>
    <row r="14" customFormat="false" ht="51.75" hidden="false" customHeight="true" outlineLevel="0" collapsed="false">
      <c r="A14" s="176"/>
      <c r="B14" s="177" t="s">
        <v>367</v>
      </c>
    </row>
    <row r="15" s="168" customFormat="true" ht="24" hidden="false" customHeight="true" outlineLevel="0" collapsed="false"/>
    <row r="16" customFormat="false" ht="36" hidden="false" customHeight="true" outlineLevel="0" collapsed="false">
      <c r="A16" s="160" t="s">
        <v>368</v>
      </c>
      <c r="B16" s="161" t="s">
        <v>369</v>
      </c>
    </row>
    <row r="17" customFormat="false" ht="49.5" hidden="false" customHeight="true" outlineLevel="0" collapsed="false">
      <c r="A17" s="178"/>
      <c r="B17" s="163" t="s">
        <v>370</v>
      </c>
    </row>
    <row r="18" customFormat="false" ht="50.25" hidden="false" customHeight="true" outlineLevel="0" collapsed="false">
      <c r="A18" s="179"/>
      <c r="B18" s="167" t="s">
        <v>371</v>
      </c>
    </row>
    <row r="19" customFormat="false" ht="24" hidden="false" customHeight="true" outlineLevel="0" collapsed="false">
      <c r="A19" s="168"/>
      <c r="B19" s="169"/>
    </row>
    <row r="20" customFormat="false" ht="36" hidden="false" customHeight="true" outlineLevel="0" collapsed="false">
      <c r="A20" s="160" t="s">
        <v>372</v>
      </c>
      <c r="B20" s="161" t="s">
        <v>373</v>
      </c>
    </row>
    <row r="21" customFormat="false" ht="57.75" hidden="false" customHeight="true" outlineLevel="0" collapsed="false">
      <c r="A21" s="178"/>
      <c r="B21" s="163" t="s">
        <v>374</v>
      </c>
    </row>
    <row r="22" customFormat="false" ht="48.75" hidden="false" customHeight="true" outlineLevel="0" collapsed="false">
      <c r="A22" s="180"/>
      <c r="B22" s="165" t="s">
        <v>375</v>
      </c>
    </row>
    <row r="23" customFormat="false" ht="60" hidden="false" customHeight="true" outlineLevel="0" collapsed="false">
      <c r="A23" s="179"/>
      <c r="B23" s="167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8"/>
    <col collapsed="false" customWidth="true" hidden="false" outlineLevel="0" max="2" min="2" style="2" width="32"/>
    <col collapsed="false" customWidth="true" hidden="false" outlineLevel="0" max="4" min="3" style="2" width="20"/>
    <col collapsed="false" customWidth="true" hidden="false" outlineLevel="0" max="5" min="5" style="2" width="22"/>
    <col collapsed="false" customWidth="true" hidden="false" outlineLevel="0" max="6" min="6" style="2" width="38"/>
  </cols>
  <sheetData>
    <row r="1" customFormat="false" ht="33.75" hidden="false" customHeight="true" outlineLevel="0" collapsed="false">
      <c r="A1" s="181" t="s">
        <v>377</v>
      </c>
      <c r="B1" s="181"/>
      <c r="C1" s="181"/>
      <c r="D1" s="181"/>
      <c r="E1" s="181"/>
      <c r="F1" s="181"/>
    </row>
    <row r="2" customFormat="false" ht="18" hidden="false" customHeight="true" outlineLevel="0" collapsed="false">
      <c r="A2" s="182" t="s">
        <v>378</v>
      </c>
      <c r="B2" s="182"/>
      <c r="C2" s="182"/>
      <c r="D2" s="182"/>
      <c r="E2" s="182"/>
      <c r="F2" s="182"/>
    </row>
    <row r="3" customFormat="false" ht="30" hidden="false" customHeight="true" outlineLevel="0" collapsed="false">
      <c r="A3" s="183" t="s">
        <v>379</v>
      </c>
      <c r="B3" s="183"/>
      <c r="C3" s="183"/>
      <c r="D3" s="183"/>
      <c r="E3" s="183"/>
      <c r="F3" s="183"/>
    </row>
    <row r="4" customFormat="false" ht="51.75" hidden="false" customHeight="true" outlineLevel="0" collapsed="false">
      <c r="A4" s="184" t="s">
        <v>380</v>
      </c>
      <c r="B4" s="184"/>
      <c r="C4" s="184"/>
      <c r="D4" s="184"/>
      <c r="E4" s="184"/>
      <c r="F4" s="184"/>
    </row>
    <row r="5" customFormat="false" ht="30" hidden="false" customHeight="true" outlineLevel="0" collapsed="false">
      <c r="A5" s="183" t="s">
        <v>381</v>
      </c>
      <c r="B5" s="183"/>
      <c r="C5" s="183"/>
      <c r="D5" s="183"/>
      <c r="E5" s="183"/>
      <c r="F5" s="183"/>
    </row>
    <row r="6" customFormat="false" ht="27.75" hidden="false" customHeight="true" outlineLevel="0" collapsed="false">
      <c r="A6" s="185" t="s">
        <v>382</v>
      </c>
      <c r="B6" s="185" t="s">
        <v>383</v>
      </c>
      <c r="C6" s="185" t="s">
        <v>384</v>
      </c>
      <c r="D6" s="185" t="s">
        <v>385</v>
      </c>
      <c r="E6" s="185" t="s">
        <v>386</v>
      </c>
      <c r="F6" s="185" t="s">
        <v>387</v>
      </c>
    </row>
    <row r="7" customFormat="false" ht="48" hidden="false" customHeight="true" outlineLevel="0" collapsed="false">
      <c r="A7" s="186" t="s">
        <v>388</v>
      </c>
      <c r="B7" s="187" t="s">
        <v>389</v>
      </c>
      <c r="C7" s="188" t="s">
        <v>390</v>
      </c>
      <c r="D7" s="189" t="s">
        <v>391</v>
      </c>
      <c r="E7" s="71" t="s">
        <v>392</v>
      </c>
      <c r="F7" s="190" t="s">
        <v>393</v>
      </c>
    </row>
    <row r="8" customFormat="false" ht="48" hidden="false" customHeight="true" outlineLevel="0" collapsed="false">
      <c r="A8" s="186" t="s">
        <v>388</v>
      </c>
      <c r="B8" s="191" t="s">
        <v>394</v>
      </c>
      <c r="C8" s="192" t="s">
        <v>395</v>
      </c>
      <c r="D8" s="189" t="s">
        <v>396</v>
      </c>
      <c r="E8" s="72" t="s">
        <v>397</v>
      </c>
      <c r="F8" s="193" t="s">
        <v>398</v>
      </c>
    </row>
    <row r="9" customFormat="false" ht="30" hidden="false" customHeight="true" outlineLevel="0" collapsed="false">
      <c r="A9" s="183" t="s">
        <v>399</v>
      </c>
      <c r="B9" s="183"/>
      <c r="C9" s="183"/>
      <c r="D9" s="183"/>
      <c r="E9" s="183"/>
      <c r="F9" s="183"/>
    </row>
    <row r="10" customFormat="false" ht="27.75" hidden="false" customHeight="true" outlineLevel="0" collapsed="false">
      <c r="A10" s="185" t="s">
        <v>400</v>
      </c>
      <c r="B10" s="185" t="s">
        <v>383</v>
      </c>
      <c r="C10" s="185" t="s">
        <v>401</v>
      </c>
      <c r="D10" s="185" t="s">
        <v>385</v>
      </c>
      <c r="E10" s="185" t="s">
        <v>402</v>
      </c>
      <c r="F10" s="185" t="s">
        <v>387</v>
      </c>
    </row>
    <row r="11" customFormat="false" ht="43.5" hidden="false" customHeight="true" outlineLevel="0" collapsed="false">
      <c r="A11" s="186" t="s">
        <v>403</v>
      </c>
      <c r="B11" s="194" t="s">
        <v>404</v>
      </c>
      <c r="C11" s="71" t="s">
        <v>405</v>
      </c>
      <c r="D11" s="189" t="s">
        <v>406</v>
      </c>
      <c r="E11" s="190" t="s">
        <v>407</v>
      </c>
      <c r="F11" s="190" t="s">
        <v>408</v>
      </c>
    </row>
    <row r="12" customFormat="false" ht="43.5" hidden="false" customHeight="true" outlineLevel="0" collapsed="false">
      <c r="A12" s="186" t="s">
        <v>409</v>
      </c>
      <c r="B12" s="195" t="s">
        <v>404</v>
      </c>
      <c r="C12" s="72" t="s">
        <v>410</v>
      </c>
      <c r="D12" s="189" t="s">
        <v>411</v>
      </c>
      <c r="E12" s="193" t="s">
        <v>407</v>
      </c>
      <c r="F12" s="193" t="s">
        <v>408</v>
      </c>
    </row>
    <row r="13" customFormat="false" ht="43.5" hidden="false" customHeight="true" outlineLevel="0" collapsed="false">
      <c r="A13" s="186" t="s">
        <v>412</v>
      </c>
      <c r="B13" s="196" t="s">
        <v>413</v>
      </c>
      <c r="C13" s="197" t="s">
        <v>414</v>
      </c>
      <c r="D13" s="189" t="s">
        <v>415</v>
      </c>
      <c r="E13" s="198" t="s">
        <v>416</v>
      </c>
      <c r="F13" s="198" t="s">
        <v>417</v>
      </c>
    </row>
    <row r="14" customFormat="false" ht="43.5" hidden="false" customHeight="true" outlineLevel="0" collapsed="false">
      <c r="A14" s="186" t="s">
        <v>418</v>
      </c>
      <c r="B14" s="196" t="s">
        <v>419</v>
      </c>
      <c r="C14" s="197" t="s">
        <v>420</v>
      </c>
      <c r="D14" s="189" t="s">
        <v>421</v>
      </c>
      <c r="E14" s="198" t="s">
        <v>416</v>
      </c>
      <c r="F14" s="198" t="s">
        <v>422</v>
      </c>
    </row>
    <row r="15" customFormat="false" ht="30" hidden="false" customHeight="true" outlineLevel="0" collapsed="false">
      <c r="A15" s="183" t="s">
        <v>423</v>
      </c>
      <c r="B15" s="183"/>
      <c r="C15" s="183"/>
      <c r="D15" s="183"/>
      <c r="E15" s="183"/>
      <c r="F15" s="183"/>
    </row>
    <row r="16" customFormat="false" ht="27.75" hidden="false" customHeight="true" outlineLevel="0" collapsed="false">
      <c r="A16" s="185" t="s">
        <v>424</v>
      </c>
      <c r="B16" s="185" t="s">
        <v>383</v>
      </c>
      <c r="C16" s="185" t="s">
        <v>425</v>
      </c>
      <c r="D16" s="185" t="s">
        <v>426</v>
      </c>
      <c r="E16" s="185" t="s">
        <v>427</v>
      </c>
      <c r="F16" s="185" t="s">
        <v>387</v>
      </c>
    </row>
    <row r="17" customFormat="false" ht="43.5" hidden="false" customHeight="true" outlineLevel="0" collapsed="false">
      <c r="A17" s="199" t="s">
        <v>428</v>
      </c>
      <c r="B17" s="193" t="s">
        <v>429</v>
      </c>
      <c r="C17" s="200" t="s">
        <v>430</v>
      </c>
      <c r="D17" s="193" t="s">
        <v>431</v>
      </c>
      <c r="E17" s="201" t="s">
        <v>432</v>
      </c>
      <c r="F17" s="193" t="s">
        <v>433</v>
      </c>
    </row>
    <row r="18" customFormat="false" ht="43.5" hidden="false" customHeight="true" outlineLevel="0" collapsed="false">
      <c r="A18" s="202" t="s">
        <v>434</v>
      </c>
      <c r="B18" s="190" t="s">
        <v>435</v>
      </c>
      <c r="C18" s="203" t="s">
        <v>436</v>
      </c>
      <c r="D18" s="190" t="s">
        <v>431</v>
      </c>
      <c r="E18" s="204" t="s">
        <v>432</v>
      </c>
      <c r="F18" s="190" t="s">
        <v>437</v>
      </c>
    </row>
    <row r="19" customFormat="false" ht="43.5" hidden="false" customHeight="true" outlineLevel="0" collapsed="false">
      <c r="A19" s="205" t="s">
        <v>438</v>
      </c>
      <c r="B19" s="198" t="s">
        <v>439</v>
      </c>
      <c r="C19" s="206" t="s">
        <v>440</v>
      </c>
      <c r="D19" s="198" t="s">
        <v>431</v>
      </c>
      <c r="E19" s="207" t="s">
        <v>441</v>
      </c>
      <c r="F19" s="198" t="s">
        <v>442</v>
      </c>
    </row>
    <row r="20" customFormat="false" ht="30" hidden="false" customHeight="true" outlineLevel="0" collapsed="false">
      <c r="A20" s="183" t="s">
        <v>443</v>
      </c>
      <c r="B20" s="183"/>
      <c r="C20" s="183"/>
      <c r="D20" s="183"/>
      <c r="E20" s="183"/>
      <c r="F20" s="183"/>
    </row>
    <row r="21" customFormat="false" ht="27.75" hidden="false" customHeight="true" outlineLevel="0" collapsed="false">
      <c r="A21" s="185" t="s">
        <v>444</v>
      </c>
      <c r="B21" s="185" t="s">
        <v>445</v>
      </c>
      <c r="C21" s="185" t="s">
        <v>446</v>
      </c>
      <c r="D21" s="185" t="s">
        <v>447</v>
      </c>
      <c r="E21" s="185" t="s">
        <v>448</v>
      </c>
      <c r="F21" s="185" t="s">
        <v>387</v>
      </c>
    </row>
    <row r="22" customFormat="false" ht="43.5" hidden="false" customHeight="true" outlineLevel="0" collapsed="false">
      <c r="A22" s="208" t="s">
        <v>449</v>
      </c>
      <c r="B22" s="202" t="s">
        <v>450</v>
      </c>
      <c r="C22" s="188" t="s">
        <v>451</v>
      </c>
      <c r="D22" s="190" t="s">
        <v>452</v>
      </c>
      <c r="E22" s="204" t="s">
        <v>453</v>
      </c>
      <c r="F22" s="190" t="s">
        <v>454</v>
      </c>
    </row>
    <row r="23" customFormat="false" ht="43.5" hidden="false" customHeight="true" outlineLevel="0" collapsed="false">
      <c r="A23" s="209" t="s">
        <v>455</v>
      </c>
      <c r="B23" s="210" t="s">
        <v>456</v>
      </c>
      <c r="C23" s="211" t="s">
        <v>252</v>
      </c>
      <c r="D23" s="212" t="s">
        <v>457</v>
      </c>
      <c r="E23" s="213" t="s">
        <v>458</v>
      </c>
      <c r="F23" s="212" t="s">
        <v>459</v>
      </c>
    </row>
    <row r="24" customFormat="false" ht="43.5" hidden="false" customHeight="true" outlineLevel="0" collapsed="false">
      <c r="A24" s="214" t="s">
        <v>460</v>
      </c>
      <c r="B24" s="199" t="s">
        <v>461</v>
      </c>
      <c r="C24" s="192" t="s">
        <v>462</v>
      </c>
      <c r="D24" s="193" t="s">
        <v>463</v>
      </c>
      <c r="E24" s="201" t="s">
        <v>464</v>
      </c>
      <c r="F24" s="193" t="s">
        <v>465</v>
      </c>
    </row>
    <row r="25" customFormat="false" ht="30" hidden="false" customHeight="true" outlineLevel="0" collapsed="false">
      <c r="A25" s="183" t="s">
        <v>466</v>
      </c>
      <c r="B25" s="183"/>
      <c r="C25" s="183"/>
      <c r="D25" s="183"/>
      <c r="E25" s="183"/>
      <c r="F25" s="183"/>
    </row>
    <row r="26" customFormat="false" ht="55.5" hidden="false" customHeight="true" outlineLevel="0" collapsed="false">
      <c r="A26" s="215" t="s">
        <v>195</v>
      </c>
      <c r="B26" s="216" t="s">
        <v>196</v>
      </c>
      <c r="C26" s="217" t="s">
        <v>467</v>
      </c>
      <c r="D26" s="189" t="s">
        <v>468</v>
      </c>
      <c r="E26" s="198" t="s">
        <v>469</v>
      </c>
      <c r="F26" s="198" t="s">
        <v>470</v>
      </c>
    </row>
  </sheetData>
  <mergeCells count="9">
    <mergeCell ref="A1:F1"/>
    <mergeCell ref="A2:F2"/>
    <mergeCell ref="A3:F3"/>
    <mergeCell ref="A4:F4"/>
    <mergeCell ref="A5:F5"/>
    <mergeCell ref="A9:F9"/>
    <mergeCell ref="A15:F15"/>
    <mergeCell ref="A20:F20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2026-04-27T07:04:54Z</dcterms:created>
  <dc:creator>openpyxl</dc:creator>
  <dc:description/>
  <dc:language>en-US</dc:language>
  <cp:lastModifiedBy>vvb2112</cp:lastModifiedBy>
  <dcterms:modified xsi:type="dcterms:W3CDTF">2026-04-27T08:18:47Z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